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JOHN\IT\"/>
    </mc:Choice>
  </mc:AlternateContent>
  <bookViews>
    <workbookView xWindow="0" yWindow="0" windowWidth="20490" windowHeight="7905" activeTab="4"/>
  </bookViews>
  <sheets>
    <sheet name=" DB-A" sheetId="3" r:id="rId1"/>
    <sheet name="DB-B" sheetId="2" r:id="rId2"/>
    <sheet name="DB-C" sheetId="5" r:id="rId3"/>
    <sheet name="DB-D" sheetId="6" r:id="rId4"/>
    <sheet name="DB-E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5" i="7" l="1"/>
  <c r="Q25" i="7" s="1"/>
  <c r="I25" i="7"/>
  <c r="E25" i="7"/>
  <c r="S24" i="7"/>
  <c r="P24" i="7" s="1"/>
  <c r="H24" i="7"/>
  <c r="E24" i="7"/>
  <c r="S23" i="7"/>
  <c r="O23" i="7" s="1"/>
  <c r="G23" i="7"/>
  <c r="E23" i="7"/>
  <c r="S22" i="7"/>
  <c r="Q22" i="7" s="1"/>
  <c r="I22" i="7"/>
  <c r="E22" i="7"/>
  <c r="S21" i="7"/>
  <c r="P21" i="7" s="1"/>
  <c r="H21" i="7"/>
  <c r="E21" i="7"/>
  <c r="S20" i="7"/>
  <c r="O20" i="7" s="1"/>
  <c r="G20" i="7"/>
  <c r="E20" i="7"/>
  <c r="S19" i="7"/>
  <c r="Q19" i="7" s="1"/>
  <c r="I19" i="7"/>
  <c r="E19" i="7"/>
  <c r="S18" i="7"/>
  <c r="P18" i="7" s="1"/>
  <c r="H18" i="7"/>
  <c r="E18" i="7"/>
  <c r="S17" i="7"/>
  <c r="O17" i="7" s="1"/>
  <c r="G17" i="7"/>
  <c r="E17" i="7"/>
  <c r="S16" i="7"/>
  <c r="Q16" i="7" s="1"/>
  <c r="I16" i="7"/>
  <c r="E16" i="7"/>
  <c r="S15" i="7"/>
  <c r="P15" i="7" s="1"/>
  <c r="H15" i="7"/>
  <c r="E15" i="7"/>
  <c r="S14" i="7"/>
  <c r="O14" i="7" s="1"/>
  <c r="G14" i="7"/>
  <c r="E14" i="7"/>
  <c r="S13" i="7"/>
  <c r="Q13" i="7" s="1"/>
  <c r="I13" i="7"/>
  <c r="E13" i="7"/>
  <c r="S12" i="7"/>
  <c r="P12" i="7" s="1"/>
  <c r="H12" i="7"/>
  <c r="E12" i="7"/>
  <c r="S11" i="7"/>
  <c r="O11" i="7" s="1"/>
  <c r="G11" i="7"/>
  <c r="E11" i="7"/>
  <c r="S10" i="7"/>
  <c r="Q10" i="7" s="1"/>
  <c r="Q26" i="7" s="1"/>
  <c r="I10" i="7"/>
  <c r="I26" i="7" s="1"/>
  <c r="E10" i="7"/>
  <c r="S9" i="7"/>
  <c r="P9" i="7" s="1"/>
  <c r="H9" i="7"/>
  <c r="H26" i="7" s="1"/>
  <c r="E9" i="7"/>
  <c r="S8" i="7"/>
  <c r="S26" i="7" s="1"/>
  <c r="G8" i="7"/>
  <c r="G26" i="7" s="1"/>
  <c r="E8" i="7"/>
  <c r="E26" i="7" s="1"/>
  <c r="S25" i="6"/>
  <c r="Q25" i="6"/>
  <c r="E25" i="6"/>
  <c r="I25" i="6" s="1"/>
  <c r="S24" i="6"/>
  <c r="P24" i="6"/>
  <c r="E24" i="6"/>
  <c r="H24" i="6" s="1"/>
  <c r="S23" i="6"/>
  <c r="O23" i="6"/>
  <c r="E23" i="6"/>
  <c r="G23" i="6" s="1"/>
  <c r="S22" i="6"/>
  <c r="Q22" i="6"/>
  <c r="E22" i="6"/>
  <c r="I22" i="6" s="1"/>
  <c r="S21" i="6"/>
  <c r="P21" i="6"/>
  <c r="E21" i="6"/>
  <c r="H21" i="6" s="1"/>
  <c r="S20" i="6"/>
  <c r="O20" i="6"/>
  <c r="E20" i="6"/>
  <c r="G20" i="6" s="1"/>
  <c r="S19" i="6"/>
  <c r="Q19" i="6"/>
  <c r="E19" i="6"/>
  <c r="I19" i="6" s="1"/>
  <c r="S18" i="6"/>
  <c r="P18" i="6"/>
  <c r="E18" i="6"/>
  <c r="H18" i="6" s="1"/>
  <c r="S17" i="6"/>
  <c r="O17" i="6"/>
  <c r="E17" i="6"/>
  <c r="G17" i="6" s="1"/>
  <c r="S16" i="6"/>
  <c r="Q16" i="6"/>
  <c r="E16" i="6"/>
  <c r="I16" i="6" s="1"/>
  <c r="S15" i="6"/>
  <c r="P15" i="6"/>
  <c r="E15" i="6"/>
  <c r="H15" i="6" s="1"/>
  <c r="S14" i="6"/>
  <c r="O14" i="6"/>
  <c r="E14" i="6"/>
  <c r="G14" i="6" s="1"/>
  <c r="S13" i="6"/>
  <c r="Q13" i="6"/>
  <c r="E13" i="6"/>
  <c r="I13" i="6" s="1"/>
  <c r="S12" i="6"/>
  <c r="P12" i="6"/>
  <c r="E12" i="6"/>
  <c r="H12" i="6" s="1"/>
  <c r="S11" i="6"/>
  <c r="O11" i="6"/>
  <c r="E11" i="6"/>
  <c r="G11" i="6" s="1"/>
  <c r="S10" i="6"/>
  <c r="Q10" i="6"/>
  <c r="Q26" i="6" s="1"/>
  <c r="E10" i="6"/>
  <c r="I10" i="6" s="1"/>
  <c r="I26" i="6" s="1"/>
  <c r="M31" i="6" s="1"/>
  <c r="S9" i="6"/>
  <c r="P9" i="6"/>
  <c r="P26" i="6" s="1"/>
  <c r="E9" i="6"/>
  <c r="H9" i="6" s="1"/>
  <c r="S8" i="6"/>
  <c r="S26" i="6" s="1"/>
  <c r="O8" i="6"/>
  <c r="O26" i="6" s="1"/>
  <c r="E8" i="6"/>
  <c r="G8" i="6" s="1"/>
  <c r="G26" i="6" s="1"/>
  <c r="I31" i="6" s="1"/>
  <c r="E12" i="5"/>
  <c r="E12" i="2"/>
  <c r="E16" i="3"/>
  <c r="E8" i="3"/>
  <c r="E22" i="3"/>
  <c r="E10" i="3"/>
  <c r="I31" i="7" l="1"/>
  <c r="P26" i="7"/>
  <c r="K31" i="7" s="1"/>
  <c r="M31" i="7"/>
  <c r="O8" i="7"/>
  <c r="O26" i="7" s="1"/>
  <c r="H26" i="6"/>
  <c r="K31" i="6" s="1"/>
  <c r="P33" i="6" s="1"/>
  <c r="E26" i="6"/>
  <c r="S25" i="5"/>
  <c r="Q25" i="5"/>
  <c r="E25" i="5"/>
  <c r="I25" i="5" s="1"/>
  <c r="S24" i="5"/>
  <c r="P24" i="5"/>
  <c r="E24" i="5"/>
  <c r="H24" i="5" s="1"/>
  <c r="S23" i="5"/>
  <c r="O23" i="5"/>
  <c r="E23" i="5"/>
  <c r="G23" i="5" s="1"/>
  <c r="S22" i="5"/>
  <c r="Q22" i="5"/>
  <c r="E22" i="5"/>
  <c r="I22" i="5" s="1"/>
  <c r="S21" i="5"/>
  <c r="P21" i="5"/>
  <c r="E21" i="5"/>
  <c r="H21" i="5" s="1"/>
  <c r="S20" i="5"/>
  <c r="O20" i="5"/>
  <c r="E20" i="5"/>
  <c r="G20" i="5" s="1"/>
  <c r="S19" i="5"/>
  <c r="Q19" i="5"/>
  <c r="E19" i="5"/>
  <c r="I19" i="5" s="1"/>
  <c r="S18" i="5"/>
  <c r="P18" i="5"/>
  <c r="E18" i="5"/>
  <c r="H18" i="5" s="1"/>
  <c r="S17" i="5"/>
  <c r="O17" i="5"/>
  <c r="E17" i="5"/>
  <c r="G17" i="5" s="1"/>
  <c r="S16" i="5"/>
  <c r="Q16" i="5"/>
  <c r="E16" i="5"/>
  <c r="I16" i="5" s="1"/>
  <c r="S15" i="5"/>
  <c r="P15" i="5"/>
  <c r="E15" i="5"/>
  <c r="H15" i="5" s="1"/>
  <c r="S14" i="5"/>
  <c r="O14" i="5"/>
  <c r="E14" i="5"/>
  <c r="G14" i="5" s="1"/>
  <c r="S13" i="5"/>
  <c r="Q13" i="5"/>
  <c r="E13" i="5"/>
  <c r="I13" i="5" s="1"/>
  <c r="S12" i="5"/>
  <c r="P12" i="5"/>
  <c r="H12" i="5"/>
  <c r="S11" i="5"/>
  <c r="O11" i="5"/>
  <c r="E11" i="5"/>
  <c r="G11" i="5" s="1"/>
  <c r="S10" i="5"/>
  <c r="Q10" i="5"/>
  <c r="Q26" i="5" s="1"/>
  <c r="E10" i="5"/>
  <c r="I10" i="5" s="1"/>
  <c r="I26" i="5" s="1"/>
  <c r="M31" i="5" s="1"/>
  <c r="S9" i="5"/>
  <c r="P9" i="5"/>
  <c r="P26" i="5" s="1"/>
  <c r="E9" i="5"/>
  <c r="H9" i="5" s="1"/>
  <c r="S8" i="5"/>
  <c r="S26" i="5" s="1"/>
  <c r="O8" i="5"/>
  <c r="O26" i="5" s="1"/>
  <c r="E8" i="5"/>
  <c r="G8" i="5" s="1"/>
  <c r="G26" i="5" s="1"/>
  <c r="I31" i="5" s="1"/>
  <c r="E19" i="2"/>
  <c r="S18" i="2"/>
  <c r="E14" i="2"/>
  <c r="S16" i="2"/>
  <c r="S8" i="2"/>
  <c r="S11" i="2"/>
  <c r="S22" i="2"/>
  <c r="E9" i="2"/>
  <c r="S25" i="3"/>
  <c r="Q25" i="3"/>
  <c r="E25" i="3"/>
  <c r="I25" i="3" s="1"/>
  <c r="S24" i="3"/>
  <c r="P24" i="3"/>
  <c r="E24" i="3"/>
  <c r="H24" i="3" s="1"/>
  <c r="S23" i="3"/>
  <c r="O23" i="3"/>
  <c r="E23" i="3"/>
  <c r="G23" i="3" s="1"/>
  <c r="S22" i="3"/>
  <c r="Q22" i="3"/>
  <c r="I22" i="3"/>
  <c r="S21" i="3"/>
  <c r="P21" i="3"/>
  <c r="E21" i="3"/>
  <c r="H21" i="3" s="1"/>
  <c r="S20" i="3"/>
  <c r="O20" i="3"/>
  <c r="E20" i="3"/>
  <c r="G20" i="3" s="1"/>
  <c r="S19" i="3"/>
  <c r="Q19" i="3"/>
  <c r="E19" i="3"/>
  <c r="I19" i="3" s="1"/>
  <c r="S18" i="3"/>
  <c r="P18" i="3"/>
  <c r="E18" i="3"/>
  <c r="H18" i="3" s="1"/>
  <c r="S17" i="3"/>
  <c r="O17" i="3"/>
  <c r="E17" i="3"/>
  <c r="G17" i="3" s="1"/>
  <c r="S16" i="3"/>
  <c r="Q16" i="3"/>
  <c r="I16" i="3"/>
  <c r="S15" i="3"/>
  <c r="P15" i="3"/>
  <c r="E15" i="3"/>
  <c r="H15" i="3" s="1"/>
  <c r="S14" i="3"/>
  <c r="O14" i="3"/>
  <c r="E14" i="3"/>
  <c r="G14" i="3" s="1"/>
  <c r="S13" i="3"/>
  <c r="Q13" i="3"/>
  <c r="E13" i="3"/>
  <c r="I13" i="3" s="1"/>
  <c r="S12" i="3"/>
  <c r="P12" i="3"/>
  <c r="E12" i="3"/>
  <c r="H12" i="3" s="1"/>
  <c r="S11" i="3"/>
  <c r="O11" i="3"/>
  <c r="E11" i="3"/>
  <c r="G11" i="3" s="1"/>
  <c r="S10" i="3"/>
  <c r="Q10" i="3"/>
  <c r="Q26" i="3" s="1"/>
  <c r="I10" i="3"/>
  <c r="S9" i="3"/>
  <c r="P9" i="3"/>
  <c r="P26" i="3" s="1"/>
  <c r="E9" i="3"/>
  <c r="H9" i="3" s="1"/>
  <c r="S8" i="3"/>
  <c r="S26" i="3" s="1"/>
  <c r="O8" i="3"/>
  <c r="O26" i="3" s="1"/>
  <c r="G8" i="3"/>
  <c r="G26" i="3" s="1"/>
  <c r="I31" i="3" s="1"/>
  <c r="P33" i="7" l="1"/>
  <c r="P36" i="6"/>
  <c r="P35" i="6"/>
  <c r="I26" i="3"/>
  <c r="M31" i="3" s="1"/>
  <c r="H26" i="5"/>
  <c r="K31" i="5" s="1"/>
  <c r="P33" i="5" s="1"/>
  <c r="E26" i="5"/>
  <c r="H26" i="3"/>
  <c r="K31" i="3" s="1"/>
  <c r="P33" i="3" s="1"/>
  <c r="E26" i="3"/>
  <c r="P36" i="7" l="1"/>
  <c r="P35" i="7"/>
  <c r="P36" i="5"/>
  <c r="P35" i="5"/>
  <c r="P36" i="3"/>
  <c r="P35" i="3"/>
  <c r="E11" i="2" l="1"/>
  <c r="S19" i="2"/>
  <c r="Q19" i="2" s="1"/>
  <c r="E21" i="2"/>
  <c r="I19" i="2"/>
  <c r="E18" i="2"/>
  <c r="E17" i="2"/>
  <c r="G17" i="2" s="1"/>
  <c r="S17" i="2"/>
  <c r="O17" i="2" s="1"/>
  <c r="S15" i="2"/>
  <c r="S14" i="2"/>
  <c r="S13" i="2"/>
  <c r="S12" i="2"/>
  <c r="O11" i="2"/>
  <c r="G14" i="2"/>
  <c r="E16" i="2"/>
  <c r="E13" i="2"/>
  <c r="S10" i="2"/>
  <c r="S9" i="2"/>
  <c r="P9" i="2" s="1"/>
  <c r="E10" i="2"/>
  <c r="E8" i="2"/>
  <c r="S25" i="2"/>
  <c r="Q25" i="2" s="1"/>
  <c r="I25" i="2"/>
  <c r="E25" i="2"/>
  <c r="S24" i="2"/>
  <c r="P24" i="2" s="1"/>
  <c r="H24" i="2"/>
  <c r="E24" i="2"/>
  <c r="S23" i="2"/>
  <c r="O23" i="2" s="1"/>
  <c r="E23" i="2"/>
  <c r="G23" i="2" s="1"/>
  <c r="Q22" i="2"/>
  <c r="I22" i="2"/>
  <c r="E22" i="2"/>
  <c r="S21" i="2"/>
  <c r="P21" i="2" s="1"/>
  <c r="H21" i="2"/>
  <c r="S20" i="2"/>
  <c r="O20" i="2" s="1"/>
  <c r="G20" i="2"/>
  <c r="E20" i="2"/>
  <c r="P18" i="2"/>
  <c r="H18" i="2"/>
  <c r="Q16" i="2"/>
  <c r="I16" i="2"/>
  <c r="P15" i="2"/>
  <c r="E15" i="2"/>
  <c r="H15" i="2" s="1"/>
  <c r="O14" i="2"/>
  <c r="Q13" i="2"/>
  <c r="I13" i="2"/>
  <c r="P12" i="2"/>
  <c r="H12" i="2"/>
  <c r="G11" i="2"/>
  <c r="Q10" i="2"/>
  <c r="I10" i="2"/>
  <c r="H9" i="2"/>
  <c r="G8" i="2"/>
  <c r="H26" i="2" l="1"/>
  <c r="I26" i="2"/>
  <c r="E26" i="2"/>
  <c r="G26" i="2"/>
  <c r="Q26" i="2"/>
  <c r="S26" i="2"/>
  <c r="P26" i="2"/>
  <c r="K31" i="2" s="1"/>
  <c r="O8" i="2"/>
  <c r="O26" i="2" s="1"/>
  <c r="M31" i="2" l="1"/>
  <c r="I31" i="2"/>
  <c r="P33" i="2" s="1"/>
  <c r="P36" i="2" l="1"/>
  <c r="P35" i="2"/>
</calcChain>
</file>

<file path=xl/sharedStrings.xml><?xml version="1.0" encoding="utf-8"?>
<sst xmlns="http://schemas.openxmlformats.org/spreadsheetml/2006/main" count="635" uniqueCount="142">
  <si>
    <t>Location:</t>
  </si>
  <si>
    <t>Type:</t>
  </si>
  <si>
    <t>Voltage &amp; Freq.:</t>
  </si>
  <si>
    <t>230/400V, 50Hz</t>
  </si>
  <si>
    <t>DB Ref.:</t>
  </si>
  <si>
    <t>Cable Length(m) to ControlPanel</t>
  </si>
  <si>
    <t>Fed from</t>
  </si>
  <si>
    <t>CONTROL PANEL</t>
  </si>
  <si>
    <t>DESIGNATION OF LOAD</t>
  </si>
  <si>
    <r>
      <rPr>
        <b/>
        <sz val="8"/>
        <rFont val="Arial"/>
        <charset val="134"/>
      </rPr>
      <t>CABLE SIZE (mm</t>
    </r>
    <r>
      <rPr>
        <b/>
        <vertAlign val="superscript"/>
        <sz val="8"/>
        <rFont val="Arial"/>
        <charset val="134"/>
      </rPr>
      <t>2</t>
    </r>
    <r>
      <rPr>
        <b/>
        <sz val="8"/>
        <rFont val="Arial"/>
        <charset val="134"/>
      </rPr>
      <t>)</t>
    </r>
  </si>
  <si>
    <t>No of points</t>
  </si>
  <si>
    <t>Watts per point</t>
  </si>
  <si>
    <t>Peak Load</t>
  </si>
  <si>
    <t>Diversity Factor</t>
  </si>
  <si>
    <t>PHASE LOAD IN WATTS</t>
  </si>
  <si>
    <t>TRIP RATING</t>
  </si>
  <si>
    <t>R</t>
  </si>
  <si>
    <t>Y</t>
  </si>
  <si>
    <t>B</t>
  </si>
  <si>
    <t>3 x 4.0</t>
  </si>
  <si>
    <t>3 x 6.0</t>
  </si>
  <si>
    <t>2 x 1.5</t>
  </si>
  <si>
    <t>SPARE</t>
  </si>
  <si>
    <t>3 x 2.5</t>
  </si>
  <si>
    <t>3x 4.0</t>
  </si>
  <si>
    <t xml:space="preserve">                                       SUB-TOTALS </t>
  </si>
  <si>
    <t>* RING MAIN FINBL SUB-CIRCUITS</t>
  </si>
  <si>
    <t>DB LOAD CABLE SIZE:</t>
  </si>
  <si>
    <t>EARTH WIRE SIZE:</t>
  </si>
  <si>
    <t>CONNECTED (W)</t>
  </si>
  <si>
    <t>SPARE(W)</t>
  </si>
  <si>
    <t>DB ISOLATOR TYPE:</t>
  </si>
  <si>
    <t>TOTAL CONNECTED (W)</t>
  </si>
  <si>
    <t>W</t>
  </si>
  <si>
    <t>POWER FACTOR</t>
  </si>
  <si>
    <r>
      <rPr>
        <sz val="8"/>
        <rFont val="Arial"/>
        <charset val="134"/>
      </rPr>
      <t xml:space="preserve">Cos </t>
    </r>
    <r>
      <rPr>
        <sz val="8"/>
        <rFont val="Calibri"/>
        <charset val="134"/>
      </rPr>
      <t>ф</t>
    </r>
  </si>
  <si>
    <t>TOTAL CONNECTED (VA)</t>
  </si>
  <si>
    <t>VA</t>
  </si>
  <si>
    <t>CURRENT (A)</t>
  </si>
  <si>
    <t>A</t>
  </si>
  <si>
    <t>GROUND FLOOR DISTRIBUTION BOARD (DB-A)</t>
  </si>
  <si>
    <t>DB-A</t>
  </si>
  <si>
    <t>63A TP&amp;N MCCB; 300mA</t>
  </si>
  <si>
    <t xml:space="preserve">63A 6-WAYS TP&amp;N MCB DISTRIBUTION BOARD (ABB) OR SCHNEIDER ELECTRIC </t>
  </si>
  <si>
    <t>KITCHEN</t>
  </si>
  <si>
    <t>AL1 - LIGHTING POINTS</t>
  </si>
  <si>
    <t>AL5 - LIGHTING POINTS</t>
  </si>
  <si>
    <t>AL3 - LIGHTING POINTS</t>
  </si>
  <si>
    <t>AL2 - LIGHTING POINTS</t>
  </si>
  <si>
    <t>AL4 - LIGHTING POINTS</t>
  </si>
  <si>
    <t>AL6 - LIGHTING POINTS</t>
  </si>
  <si>
    <t>AS1 - SOCKET POINTS</t>
  </si>
  <si>
    <t>AS4 - SOCKET POINTS</t>
  </si>
  <si>
    <t>AS3 - SOCKET POINTS</t>
  </si>
  <si>
    <t>AS2 - SOCKET POINTS</t>
  </si>
  <si>
    <t>AS5 - SOCKET POINTS</t>
  </si>
  <si>
    <t>AAC1 - 20A SWITCH OUTLET</t>
  </si>
  <si>
    <t>AAC2 - 20A SWITCH OUTLET</t>
  </si>
  <si>
    <t>AAC3 - 20A SWITCH OUTLET</t>
  </si>
  <si>
    <t>AAC4 - 20A SWITCH OUTLET</t>
  </si>
  <si>
    <t>AAC5 - 20A SWITCH OUTLET</t>
  </si>
  <si>
    <t>AAC6 - 20A SWITCH OUTLET</t>
  </si>
  <si>
    <t xml:space="preserve">63A 8-WAYS TP&amp;N MCB DISTRIBUTION BOARD (ABB) OR SCHNEIDER ELECTRIC </t>
  </si>
  <si>
    <t>ACCU1</t>
  </si>
  <si>
    <t>AWH1</t>
  </si>
  <si>
    <t>AWH2</t>
  </si>
  <si>
    <t>AWH3</t>
  </si>
  <si>
    <r>
      <t>4C x 10mm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PVC/PVC COPPER CABLE</t>
    </r>
  </si>
  <si>
    <r>
      <t>1 x 10mm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 SINGLE CORE COPPER CABLE</t>
    </r>
  </si>
  <si>
    <t>FIRST FLOOR DISTRIBUTION BOARD (DB-B)</t>
  </si>
  <si>
    <t>DB-B</t>
  </si>
  <si>
    <t>BL1 - LIGHTING POINTS</t>
  </si>
  <si>
    <t>BL2 - LIGHTING POINTS</t>
  </si>
  <si>
    <t>BL5 - LIGHTING POINTS</t>
  </si>
  <si>
    <t>BL4 - LIGHTING POINTS</t>
  </si>
  <si>
    <t>BL6 - LIGHTING POINTS</t>
  </si>
  <si>
    <t>BS1 - SOCKET POINTS</t>
  </si>
  <si>
    <t>BS2 - SOCKET POINTS</t>
  </si>
  <si>
    <t>BS3 - SOCKET POINTS</t>
  </si>
  <si>
    <t>BS4 - SOCKET POINTS</t>
  </si>
  <si>
    <t>BAC1 - 20A SWITCH OUTLET</t>
  </si>
  <si>
    <t>BAC2 - 20A SWITCH OUTLET</t>
  </si>
  <si>
    <t>BAC3 - 20A SWITCH OUTLET</t>
  </si>
  <si>
    <t>BAC5 - 20A SWITCH OUTLET</t>
  </si>
  <si>
    <t>BWH2</t>
  </si>
  <si>
    <t>BWH1</t>
  </si>
  <si>
    <t>DB-C</t>
  </si>
  <si>
    <t>FIRST FLOOR DISTRIBUTION BOARD (DB-C)</t>
  </si>
  <si>
    <t>CL1 - LIGHTING POINTS</t>
  </si>
  <si>
    <t>CWH2</t>
  </si>
  <si>
    <t>CL5 - LIGHTING POINTS</t>
  </si>
  <si>
    <t>CWH1</t>
  </si>
  <si>
    <t>CS2- SOCKET POINTS</t>
  </si>
  <si>
    <t>CS1 - SOCKET POINTS</t>
  </si>
  <si>
    <t>CAC3 - 20A SWITCH OUTLET</t>
  </si>
  <si>
    <t>CS3 - SOCKET POINTS</t>
  </si>
  <si>
    <t>CL4 - LIGHTING POINTS</t>
  </si>
  <si>
    <t>CL6 - LIGHTING POINTS</t>
  </si>
  <si>
    <t>CL2 - LIGHTING POINTS</t>
  </si>
  <si>
    <t>CAC1 - 20A SWITCH OUTLET</t>
  </si>
  <si>
    <t>CS4 - SOCKET POINTS</t>
  </si>
  <si>
    <t>CAC5 - 20A SWITCH OUTLET</t>
  </si>
  <si>
    <t>CAC2 - 20A SWITCH OUTLET</t>
  </si>
  <si>
    <t>63A MCB; 300mA</t>
  </si>
  <si>
    <t>BAC4 - 20A SWITCH OUTLET</t>
  </si>
  <si>
    <t>CAC4 - 20A SWITCH OUTLET</t>
  </si>
  <si>
    <t>DL1 - LIGHTING POINTS</t>
  </si>
  <si>
    <t>DWH2</t>
  </si>
  <si>
    <t>DL5 - LIGHTING POINTS</t>
  </si>
  <si>
    <t>DWH1</t>
  </si>
  <si>
    <t>DAC3 - 20A SWITCH OUTLET</t>
  </si>
  <si>
    <t>DS2- SOCKET POINTS</t>
  </si>
  <si>
    <t>DS1 - SOCKET POINTS</t>
  </si>
  <si>
    <t>DS3 - SOCKET POINTS</t>
  </si>
  <si>
    <t>DAC4 - 20A SWITCH OUTLET</t>
  </si>
  <si>
    <t>DL4 - LIGHTING POINTS</t>
  </si>
  <si>
    <t>DL6 - LIGHTING POINTS</t>
  </si>
  <si>
    <t>DL2 - LIGHTING POINTS</t>
  </si>
  <si>
    <t>DAC1 - 20A SWITCH OUTLET</t>
  </si>
  <si>
    <t>DS4 - SOCKET POINTS</t>
  </si>
  <si>
    <t>DAC5 - 20A SWITCH OUTLET</t>
  </si>
  <si>
    <t>DAC2 - 20A SWITCH OUTLET</t>
  </si>
  <si>
    <t>SECOND FLOOR DISTRIBUTION BOARD (DB-D)</t>
  </si>
  <si>
    <t>DB-D</t>
  </si>
  <si>
    <t>SECOND FLOOR DISTRIBUTION BOARD (DB-E)</t>
  </si>
  <si>
    <t>DB-E</t>
  </si>
  <si>
    <t>EL1 - LIGHTING POINTS</t>
  </si>
  <si>
    <t>EWH2</t>
  </si>
  <si>
    <t>EL5 - LIGHTING POINTS</t>
  </si>
  <si>
    <t>EWH1</t>
  </si>
  <si>
    <t>EAC3 - 20A SWITCH OUTLET</t>
  </si>
  <si>
    <t>ES2- SOCKET POINTS</t>
  </si>
  <si>
    <t>ES1 - SOCKET POINTS</t>
  </si>
  <si>
    <t>ES3 - SOCKET POINTS</t>
  </si>
  <si>
    <t>EAC4 - 20A SWITCH OUTLET</t>
  </si>
  <si>
    <t>EL4 - LIGHTING POINTS</t>
  </si>
  <si>
    <t>EL6 - LIGHTING POINTS</t>
  </si>
  <si>
    <t>EL2 - LIGHTING POINTS</t>
  </si>
  <si>
    <t>EAC1 - 20A SWITCH OUTLET</t>
  </si>
  <si>
    <t>ES4 - SOCKET POINTS</t>
  </si>
  <si>
    <t>EAC5 - 20A SWITCH OUTLET</t>
  </si>
  <si>
    <t>EAC2 - 20A SWITCH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</si>
</sst>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2"/>
      <name val="Arial"/>
      <charset val="134"/>
    </font>
    <font>
      <sz val="10"/>
      <name val="Calibri"/>
      <charset val="134"/>
      <scheme val="minor"/>
    </font>
    <font>
      <b/>
      <sz val="8"/>
      <name val="Arial"/>
      <charset val="134"/>
    </font>
    <font>
      <sz val="8"/>
      <name val="Arial"/>
      <charset val="134"/>
    </font>
    <font>
      <sz val="10"/>
      <name val="Arial"/>
      <charset val="134"/>
    </font>
    <font>
      <b/>
      <vertAlign val="superscript"/>
      <sz val="8"/>
      <name val="Arial"/>
      <charset val="134"/>
    </font>
    <font>
      <i/>
      <sz val="8"/>
      <name val="Arial"/>
      <charset val="134"/>
    </font>
    <font>
      <b/>
      <sz val="14"/>
      <name val="Calibri"/>
      <charset val="134"/>
    </font>
    <font>
      <b/>
      <i/>
      <sz val="8"/>
      <name val="Arial"/>
      <charset val="134"/>
    </font>
    <font>
      <sz val="8"/>
      <name val="Calibri"/>
      <charset val="134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8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indexed="64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/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indexed="64"/>
      </right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Font="1" applyAlignment="1"/>
    <xf numFmtId="0" fontId="3" fillId="0" borderId="4" xfId="0" applyFont="1" applyBorder="1"/>
    <xf numFmtId="0" fontId="3" fillId="0" borderId="5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7" xfId="0" applyFont="1" applyBorder="1"/>
    <xf numFmtId="0" fontId="3" fillId="0" borderId="6" xfId="0" applyFont="1" applyBorder="1"/>
    <xf numFmtId="0" fontId="3" fillId="0" borderId="8" xfId="0" applyFont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2" fontId="3" fillId="0" borderId="0" xfId="0" applyNumberFormat="1" applyFont="1"/>
    <xf numFmtId="0" fontId="5" fillId="0" borderId="10" xfId="0" applyFont="1" applyBorder="1"/>
    <xf numFmtId="2" fontId="0" fillId="0" borderId="0" xfId="0" applyNumberFormat="1" applyFont="1" applyAlignment="1"/>
    <xf numFmtId="2" fontId="5" fillId="0" borderId="0" xfId="0" applyNumberFormat="1" applyFont="1"/>
    <xf numFmtId="0" fontId="5" fillId="0" borderId="8" xfId="0" applyFont="1" applyBorder="1"/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2" fontId="3" fillId="0" borderId="14" xfId="0" applyNumberFormat="1" applyFont="1" applyBorder="1" applyAlignment="1">
      <alignment horizontal="center" vertical="top" wrapText="1"/>
    </xf>
    <xf numFmtId="0" fontId="3" fillId="0" borderId="20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2" fontId="3" fillId="0" borderId="23" xfId="0" applyNumberFormat="1" applyFont="1" applyBorder="1" applyAlignment="1">
      <alignment horizontal="center" vertical="top" wrapText="1"/>
    </xf>
    <xf numFmtId="2" fontId="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left" vertical="top"/>
    </xf>
    <xf numFmtId="0" fontId="3" fillId="0" borderId="24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3" fillId="0" borderId="2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2" fontId="3" fillId="0" borderId="23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8" xfId="0" applyFont="1" applyBorder="1" applyAlignment="1">
      <alignment vertical="top"/>
    </xf>
    <xf numFmtId="0" fontId="4" fillId="0" borderId="6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2" fontId="4" fillId="0" borderId="29" xfId="0" applyNumberFormat="1" applyFont="1" applyBorder="1" applyAlignment="1">
      <alignment horizontal="center" vertical="center"/>
    </xf>
    <xf numFmtId="2" fontId="4" fillId="0" borderId="29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4" fillId="0" borderId="29" xfId="0" applyFont="1" applyBorder="1" applyAlignment="1">
      <alignment horizontal="left"/>
    </xf>
    <xf numFmtId="0" fontId="6" fillId="0" borderId="29" xfId="0" applyFont="1" applyBorder="1" applyAlignment="1">
      <alignment horizontal="center" vertical="top"/>
    </xf>
    <xf numFmtId="0" fontId="4" fillId="0" borderId="29" xfId="0" applyFont="1" applyBorder="1" applyAlignment="1">
      <alignment horizontal="right"/>
    </xf>
    <xf numFmtId="0" fontId="4" fillId="0" borderId="31" xfId="0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3" xfId="0" applyFont="1" applyBorder="1"/>
    <xf numFmtId="2" fontId="4" fillId="0" borderId="31" xfId="0" applyNumberFormat="1" applyFont="1" applyBorder="1" applyAlignment="1">
      <alignment horizontal="center"/>
    </xf>
    <xf numFmtId="0" fontId="4" fillId="0" borderId="34" xfId="0" applyFont="1" applyBorder="1"/>
    <xf numFmtId="0" fontId="0" fillId="0" borderId="35" xfId="0" applyFont="1" applyBorder="1" applyAlignment="1"/>
    <xf numFmtId="0" fontId="0" fillId="0" borderId="37" xfId="0" applyFont="1" applyBorder="1" applyAlignment="1"/>
    <xf numFmtId="0" fontId="0" fillId="0" borderId="38" xfId="0" applyFont="1" applyBorder="1" applyAlignment="1"/>
    <xf numFmtId="0" fontId="6" fillId="0" borderId="31" xfId="0" applyFont="1" applyBorder="1" applyAlignment="1">
      <alignment horizontal="center" vertical="top"/>
    </xf>
    <xf numFmtId="0" fontId="0" fillId="0" borderId="39" xfId="0" applyFont="1" applyBorder="1" applyAlignment="1"/>
    <xf numFmtId="0" fontId="4" fillId="0" borderId="40" xfId="0" applyFont="1" applyBorder="1"/>
    <xf numFmtId="0" fontId="4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4" fillId="0" borderId="4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5" fillId="0" borderId="0" xfId="0" applyFont="1" applyAlignment="1">
      <alignment horizontal="center"/>
    </xf>
    <xf numFmtId="0" fontId="4" fillId="0" borderId="31" xfId="0" applyFont="1" applyBorder="1" applyAlignment="1">
      <alignment horizontal="left"/>
    </xf>
    <xf numFmtId="1" fontId="4" fillId="0" borderId="31" xfId="0" applyNumberFormat="1" applyFont="1" applyBorder="1" applyAlignment="1">
      <alignment horizontal="left"/>
    </xf>
    <xf numFmtId="2" fontId="4" fillId="0" borderId="31" xfId="0" applyNumberFormat="1" applyFont="1" applyBorder="1" applyAlignment="1">
      <alignment horizontal="left"/>
    </xf>
    <xf numFmtId="1" fontId="4" fillId="0" borderId="31" xfId="0" applyNumberFormat="1" applyFont="1" applyBorder="1" applyAlignment="1">
      <alignment horizontal="center"/>
    </xf>
    <xf numFmtId="0" fontId="4" fillId="0" borderId="31" xfId="0" applyFont="1" applyBorder="1"/>
    <xf numFmtId="0" fontId="4" fillId="0" borderId="31" xfId="0" applyFont="1" applyBorder="1" applyAlignment="1">
      <alignment horizontal="right"/>
    </xf>
    <xf numFmtId="1" fontId="4" fillId="0" borderId="31" xfId="0" applyNumberFormat="1" applyFont="1" applyBorder="1"/>
    <xf numFmtId="0" fontId="4" fillId="0" borderId="42" xfId="0" applyFont="1" applyBorder="1"/>
    <xf numFmtId="0" fontId="4" fillId="0" borderId="43" xfId="0" applyFont="1" applyBorder="1" applyAlignment="1">
      <alignment horizontal="left"/>
    </xf>
    <xf numFmtId="2" fontId="5" fillId="0" borderId="31" xfId="0" applyNumberFormat="1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1" xfId="0" applyFont="1" applyBorder="1"/>
    <xf numFmtId="0" fontId="4" fillId="0" borderId="46" xfId="0" applyFont="1" applyBorder="1" applyAlignment="1">
      <alignment horizontal="left"/>
    </xf>
    <xf numFmtId="2" fontId="4" fillId="0" borderId="46" xfId="0" applyNumberFormat="1" applyFont="1" applyBorder="1" applyAlignment="1">
      <alignment horizontal="left"/>
    </xf>
    <xf numFmtId="2" fontId="5" fillId="0" borderId="46" xfId="0" applyNumberFormat="1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6" xfId="0" applyFont="1" applyBorder="1"/>
    <xf numFmtId="0" fontId="4" fillId="0" borderId="46" xfId="0" applyFont="1" applyBorder="1" applyAlignment="1">
      <alignment horizontal="right"/>
    </xf>
    <xf numFmtId="2" fontId="5" fillId="0" borderId="46" xfId="0" applyNumberFormat="1" applyFont="1" applyBorder="1"/>
    <xf numFmtId="0" fontId="5" fillId="0" borderId="48" xfId="0" applyFont="1" applyBorder="1"/>
    <xf numFmtId="0" fontId="4" fillId="0" borderId="10" xfId="0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29" xfId="0" applyFont="1" applyBorder="1"/>
    <xf numFmtId="0" fontId="5" fillId="0" borderId="11" xfId="0" applyFont="1" applyBorder="1"/>
    <xf numFmtId="2" fontId="5" fillId="0" borderId="11" xfId="0" applyNumberFormat="1" applyFont="1" applyBorder="1"/>
    <xf numFmtId="2" fontId="5" fillId="0" borderId="50" xfId="0" applyNumberFormat="1" applyFont="1" applyBorder="1"/>
    <xf numFmtId="2" fontId="4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4" fillId="0" borderId="42" xfId="0" applyFont="1" applyBorder="1" applyAlignment="1">
      <alignment horizontal="center"/>
    </xf>
    <xf numFmtId="2" fontId="4" fillId="0" borderId="31" xfId="0" applyNumberFormat="1" applyFont="1" applyBorder="1"/>
    <xf numFmtId="0" fontId="4" fillId="0" borderId="5" xfId="0" applyFont="1" applyBorder="1"/>
    <xf numFmtId="0" fontId="4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/>
    <xf numFmtId="0" fontId="7" fillId="0" borderId="10" xfId="0" applyFont="1" applyBorder="1"/>
    <xf numFmtId="2" fontId="4" fillId="0" borderId="7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53" xfId="0" applyNumberFormat="1" applyFont="1" applyBorder="1" applyAlignment="1">
      <alignment horizontal="center"/>
    </xf>
    <xf numFmtId="0" fontId="4" fillId="0" borderId="53" xfId="0" applyFont="1" applyBorder="1"/>
    <xf numFmtId="0" fontId="5" fillId="0" borderId="55" xfId="0" applyFont="1" applyBorder="1"/>
    <xf numFmtId="0" fontId="5" fillId="0" borderId="56" xfId="0" applyFont="1" applyBorder="1"/>
    <xf numFmtId="2" fontId="5" fillId="0" borderId="56" xfId="0" applyNumberFormat="1" applyFont="1" applyBorder="1"/>
    <xf numFmtId="2" fontId="4" fillId="0" borderId="57" xfId="0" applyNumberFormat="1" applyFont="1" applyBorder="1"/>
    <xf numFmtId="0" fontId="4" fillId="0" borderId="56" xfId="0" applyFont="1" applyBorder="1"/>
    <xf numFmtId="2" fontId="4" fillId="0" borderId="59" xfId="0" applyNumberFormat="1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57" xfId="0" applyFont="1" applyBorder="1"/>
    <xf numFmtId="0" fontId="4" fillId="0" borderId="60" xfId="0" applyFont="1" applyBorder="1"/>
    <xf numFmtId="2" fontId="5" fillId="0" borderId="0" xfId="0" applyNumberFormat="1" applyFont="1" applyAlignment="1">
      <alignment horizontal="center"/>
    </xf>
    <xf numFmtId="0" fontId="5" fillId="0" borderId="61" xfId="0" applyFont="1" applyBorder="1"/>
    <xf numFmtId="0" fontId="0" fillId="0" borderId="62" xfId="0" applyFont="1" applyBorder="1" applyAlignment="1"/>
    <xf numFmtId="0" fontId="11" fillId="0" borderId="10" xfId="0" applyFont="1" applyBorder="1"/>
    <xf numFmtId="0" fontId="4" fillId="0" borderId="63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11" fillId="0" borderId="40" xfId="0" applyFont="1" applyBorder="1"/>
    <xf numFmtId="2" fontId="11" fillId="0" borderId="29" xfId="0" applyNumberFormat="1" applyFont="1" applyBorder="1" applyAlignment="1">
      <alignment horizontal="center" vertical="center"/>
    </xf>
    <xf numFmtId="1" fontId="11" fillId="0" borderId="29" xfId="0" applyNumberFormat="1" applyFont="1" applyBorder="1" applyAlignment="1">
      <alignment horizontal="center"/>
    </xf>
    <xf numFmtId="0" fontId="11" fillId="0" borderId="2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34" xfId="0" applyFont="1" applyBorder="1"/>
    <xf numFmtId="0" fontId="12" fillId="0" borderId="5" xfId="0" applyFont="1" applyBorder="1"/>
    <xf numFmtId="0" fontId="4" fillId="0" borderId="6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0" fillId="0" borderId="0" xfId="0" applyFont="1" applyBorder="1" applyAlignment="1"/>
    <xf numFmtId="0" fontId="11" fillId="0" borderId="67" xfId="0" applyFont="1" applyBorder="1"/>
    <xf numFmtId="0" fontId="11" fillId="0" borderId="68" xfId="0" applyFont="1" applyBorder="1"/>
    <xf numFmtId="0" fontId="11" fillId="0" borderId="69" xfId="0" applyFont="1" applyBorder="1"/>
    <xf numFmtId="0" fontId="11" fillId="0" borderId="36" xfId="0" applyFont="1" applyBorder="1"/>
    <xf numFmtId="0" fontId="11" fillId="0" borderId="33" xfId="0" applyFont="1" applyBorder="1"/>
    <xf numFmtId="0" fontId="11" fillId="0" borderId="29" xfId="0" applyFont="1" applyBorder="1" applyAlignment="1">
      <alignment horizontal="center"/>
    </xf>
    <xf numFmtId="1" fontId="11" fillId="0" borderId="29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3" fillId="0" borderId="49" xfId="0" applyFont="1" applyBorder="1"/>
    <xf numFmtId="0" fontId="4" fillId="0" borderId="58" xfId="0" applyFont="1" applyBorder="1" applyAlignment="1">
      <alignment horizontal="center"/>
    </xf>
    <xf numFmtId="0" fontId="2" fillId="0" borderId="59" xfId="0" applyFont="1" applyBorder="1"/>
    <xf numFmtId="0" fontId="2" fillId="0" borderId="56" xfId="0" applyFont="1" applyBorder="1"/>
    <xf numFmtId="0" fontId="3" fillId="0" borderId="58" xfId="0" applyFont="1" applyBorder="1" applyAlignment="1">
      <alignment horizontal="center"/>
    </xf>
    <xf numFmtId="2" fontId="9" fillId="0" borderId="7" xfId="0" applyNumberFormat="1" applyFont="1" applyBorder="1" applyAlignment="1">
      <alignment horizontal="center" wrapText="1"/>
    </xf>
    <xf numFmtId="0" fontId="2" fillId="0" borderId="6" xfId="0" applyFont="1" applyBorder="1"/>
    <xf numFmtId="0" fontId="4" fillId="0" borderId="7" xfId="0" applyFont="1" applyBorder="1" applyAlignment="1">
      <alignment horizontal="center"/>
    </xf>
    <xf numFmtId="0" fontId="2" fillId="0" borderId="5" xfId="0" applyFont="1" applyBorder="1"/>
    <xf numFmtId="0" fontId="3" fillId="0" borderId="7" xfId="0" applyFont="1" applyBorder="1" applyAlignment="1">
      <alignment horizontal="center"/>
    </xf>
    <xf numFmtId="2" fontId="4" fillId="0" borderId="51" xfId="0" applyNumberFormat="1" applyFont="1" applyBorder="1" applyAlignment="1">
      <alignment horizontal="left"/>
    </xf>
    <xf numFmtId="0" fontId="2" fillId="0" borderId="11" xfId="0" applyFont="1" applyBorder="1"/>
    <xf numFmtId="0" fontId="3" fillId="0" borderId="51" xfId="0" applyFont="1" applyBorder="1" applyAlignment="1">
      <alignment horizontal="center"/>
    </xf>
    <xf numFmtId="0" fontId="2" fillId="0" borderId="52" xfId="0" applyFont="1" applyBorder="1"/>
    <xf numFmtId="2" fontId="3" fillId="0" borderId="7" xfId="0" applyNumberFormat="1" applyFont="1" applyBorder="1" applyAlignment="1">
      <alignment horizontal="center"/>
    </xf>
    <xf numFmtId="2" fontId="2" fillId="0" borderId="6" xfId="0" applyNumberFormat="1" applyFont="1" applyBorder="1"/>
    <xf numFmtId="2" fontId="2" fillId="0" borderId="5" xfId="0" applyNumberFormat="1" applyFont="1" applyBorder="1"/>
    <xf numFmtId="0" fontId="1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2" fontId="4" fillId="0" borderId="7" xfId="0" applyNumberFormat="1" applyFont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2" fillId="0" borderId="30" xfId="0" applyFont="1" applyBorder="1"/>
    <xf numFmtId="0" fontId="2" fillId="0" borderId="29" xfId="0" applyFont="1" applyBorder="1"/>
    <xf numFmtId="0" fontId="4" fillId="0" borderId="4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2" fillId="0" borderId="45" xfId="0" applyFont="1" applyBorder="1"/>
    <xf numFmtId="0" fontId="4" fillId="0" borderId="0" xfId="0" applyFont="1" applyAlignment="1">
      <alignment horizontal="center"/>
    </xf>
    <xf numFmtId="0" fontId="2" fillId="0" borderId="8" xfId="0" applyFont="1" applyBorder="1"/>
    <xf numFmtId="0" fontId="4" fillId="0" borderId="5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 vertical="top"/>
    </xf>
    <xf numFmtId="0" fontId="2" fillId="0" borderId="15" xfId="0" applyFont="1" applyBorder="1"/>
    <xf numFmtId="0" fontId="2" fillId="0" borderId="16" xfId="0" applyFont="1" applyBorder="1"/>
    <xf numFmtId="0" fontId="3" fillId="0" borderId="17" xfId="0" applyFont="1" applyBorder="1" applyAlignment="1">
      <alignment horizontal="center" vertical="top" wrapText="1"/>
    </xf>
    <xf numFmtId="0" fontId="2" fillId="0" borderId="18" xfId="0" applyFont="1" applyBorder="1"/>
    <xf numFmtId="0" fontId="2" fillId="0" borderId="19" xfId="0" applyFont="1" applyBorder="1"/>
    <xf numFmtId="0" fontId="4" fillId="0" borderId="71" xfId="0" applyFont="1" applyBorder="1" applyAlignment="1">
      <alignment horizontal="center"/>
    </xf>
    <xf numFmtId="0" fontId="11" fillId="0" borderId="72" xfId="0" applyFont="1" applyBorder="1" applyAlignment="1">
      <alignment horizontal="center"/>
    </xf>
    <xf numFmtId="0" fontId="11" fillId="0" borderId="70" xfId="0" applyFont="1" applyBorder="1"/>
    <xf numFmtId="0" fontId="11" fillId="0" borderId="73" xfId="0" applyFont="1" applyBorder="1"/>
    <xf numFmtId="0" fontId="4" fillId="0" borderId="69" xfId="0" applyFont="1" applyBorder="1"/>
    <xf numFmtId="0" fontId="4" fillId="0" borderId="75" xfId="0" applyFont="1" applyBorder="1" applyAlignment="1">
      <alignment horizontal="center"/>
    </xf>
    <xf numFmtId="0" fontId="11" fillId="0" borderId="76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0" fillId="0" borderId="77" xfId="0" applyFont="1" applyBorder="1" applyAlignment="1"/>
    <xf numFmtId="0" fontId="11" fillId="0" borderId="78" xfId="0" applyFont="1" applyBorder="1"/>
    <xf numFmtId="0" fontId="4" fillId="0" borderId="68" xfId="0" applyFont="1" applyBorder="1"/>
    <xf numFmtId="0" fontId="11" fillId="0" borderId="79" xfId="0" applyFont="1" applyBorder="1"/>
    <xf numFmtId="0" fontId="4" fillId="0" borderId="81" xfId="0" applyFont="1" applyBorder="1" applyAlignment="1">
      <alignment horizontal="center"/>
    </xf>
    <xf numFmtId="0" fontId="11" fillId="0" borderId="80" xfId="0" applyFont="1" applyBorder="1" applyAlignment="1">
      <alignment horizontal="center"/>
    </xf>
    <xf numFmtId="0" fontId="4" fillId="0" borderId="54" xfId="0" applyFont="1" applyBorder="1"/>
    <xf numFmtId="0" fontId="4" fillId="0" borderId="52" xfId="0" applyFont="1" applyBorder="1" applyAlignment="1">
      <alignment horizontal="center"/>
    </xf>
    <xf numFmtId="0" fontId="11" fillId="0" borderId="8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19050</xdr:colOff>
      <xdr:row>19</xdr:row>
      <xdr:rowOff>9525</xdr:rowOff>
    </xdr:from>
    <xdr:ext cx="1809750" cy="895350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19050" y="3190875"/>
          <a:ext cx="1809750" cy="89535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38102</xdr:colOff>
      <xdr:row>19</xdr:row>
      <xdr:rowOff>9525</xdr:rowOff>
    </xdr:from>
    <xdr:ext cx="1771648" cy="895350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2" y="3190875"/>
          <a:ext cx="1771648" cy="8953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0</xdr:colOff>
      <xdr:row>19</xdr:row>
      <xdr:rowOff>0</xdr:rowOff>
    </xdr:from>
    <xdr:ext cx="1729740" cy="9144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39450" y="3181350"/>
          <a:ext cx="1729740" cy="9144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28576</xdr:colOff>
      <xdr:row>19</xdr:row>
      <xdr:rowOff>28575</xdr:rowOff>
    </xdr:from>
    <xdr:ext cx="1657349" cy="885825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6" y="3209925"/>
          <a:ext cx="1657349" cy="8858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28575</xdr:colOff>
      <xdr:row>15</xdr:row>
      <xdr:rowOff>142875</xdr:rowOff>
    </xdr:from>
    <xdr:ext cx="1800225" cy="1371600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28575" y="2714625"/>
          <a:ext cx="180022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38102</xdr:colOff>
      <xdr:row>16</xdr:row>
      <xdr:rowOff>19050</xdr:rowOff>
    </xdr:from>
    <xdr:ext cx="1762123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2" y="2743200"/>
          <a:ext cx="1762123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495300</xdr:colOff>
      <xdr:row>16</xdr:row>
      <xdr:rowOff>0</xdr:rowOff>
    </xdr:from>
    <xdr:ext cx="1748790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20400" y="2724150"/>
          <a:ext cx="1748790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28577</xdr:colOff>
      <xdr:row>16</xdr:row>
      <xdr:rowOff>19050</xdr:rowOff>
    </xdr:from>
    <xdr:ext cx="1666873" cy="1352550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7" y="2743200"/>
          <a:ext cx="1666873" cy="13525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28575</xdr:colOff>
      <xdr:row>15</xdr:row>
      <xdr:rowOff>142875</xdr:rowOff>
    </xdr:from>
    <xdr:ext cx="1800225" cy="1371600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28575" y="2714625"/>
          <a:ext cx="180022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38102</xdr:colOff>
      <xdr:row>16</xdr:row>
      <xdr:rowOff>19050</xdr:rowOff>
    </xdr:from>
    <xdr:ext cx="1762123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2" y="2743200"/>
          <a:ext cx="1762123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495300</xdr:colOff>
      <xdr:row>16</xdr:row>
      <xdr:rowOff>0</xdr:rowOff>
    </xdr:from>
    <xdr:ext cx="1748790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20400" y="2724150"/>
          <a:ext cx="1748790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28577</xdr:colOff>
      <xdr:row>16</xdr:row>
      <xdr:rowOff>19050</xdr:rowOff>
    </xdr:from>
    <xdr:ext cx="1666873" cy="1352550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7" y="2743200"/>
          <a:ext cx="1666873" cy="13525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28575</xdr:colOff>
      <xdr:row>15</xdr:row>
      <xdr:rowOff>142875</xdr:rowOff>
    </xdr:from>
    <xdr:ext cx="1800225" cy="1371600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28575" y="2714625"/>
          <a:ext cx="180022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38102</xdr:colOff>
      <xdr:row>16</xdr:row>
      <xdr:rowOff>19050</xdr:rowOff>
    </xdr:from>
    <xdr:ext cx="1762123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2" y="2743200"/>
          <a:ext cx="1762123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495300</xdr:colOff>
      <xdr:row>16</xdr:row>
      <xdr:rowOff>0</xdr:rowOff>
    </xdr:from>
    <xdr:ext cx="1748790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20400" y="2724150"/>
          <a:ext cx="1748790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28577</xdr:colOff>
      <xdr:row>16</xdr:row>
      <xdr:rowOff>19050</xdr:rowOff>
    </xdr:from>
    <xdr:ext cx="1666873" cy="1352550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7" y="2743200"/>
          <a:ext cx="1666873" cy="13525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096000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105525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096000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096000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096000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096000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96000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096000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096000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096000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096000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096000" y="3181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096000" y="3333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096000" y="3486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096000" y="3638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096000" y="3790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096000" y="3943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096000" y="4095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200775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343650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534150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72200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6324600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6496050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6181725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6324600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496050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181725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>
        <a:xfrm>
          <a:off x="6324600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>
        <a:xfrm>
          <a:off x="6181725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324600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>
        <a:xfrm>
          <a:off x="6496050" y="3162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191250" y="3314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>
        <a:xfrm>
          <a:off x="6324600" y="3476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505575" y="3619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>
        <a:xfrm>
          <a:off x="6191250" y="3771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334125" y="3933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>
        <a:xfrm>
          <a:off x="6505575" y="4076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2007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353175" y="44005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524625" y="44005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105525" y="43338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167438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319838" y="4271962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462713" y="4281487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5915025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5905500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5905500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5895975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638925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648450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588645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63892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629400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5905500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629400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63892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629400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5915025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638925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5895975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629400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5895975" y="3152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638925" y="3143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5895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657975" y="3305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5905500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638925" y="3457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5905500" y="3609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638925" y="3600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589597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638925" y="3762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590550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648450" y="3914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5886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648450" y="4057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28575</xdr:colOff>
      <xdr:row>15</xdr:row>
      <xdr:rowOff>142875</xdr:rowOff>
    </xdr:from>
    <xdr:ext cx="1800225" cy="1371600"/>
    <xdr:cxnSp macro="">
      <xdr:nvCxnSpPr>
        <xdr:cNvPr id="80" name="Straight Connector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28575" y="2714625"/>
          <a:ext cx="1800225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38102</xdr:colOff>
      <xdr:row>16</xdr:row>
      <xdr:rowOff>19050</xdr:rowOff>
    </xdr:from>
    <xdr:ext cx="1762123" cy="1343025"/>
    <xdr:cxnSp macro="">
      <xdr:nvCxnSpPr>
        <xdr:cNvPr id="81" name="Straight Connector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2" y="2743200"/>
          <a:ext cx="1762123" cy="134302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21</xdr:col>
      <xdr:colOff>495300</xdr:colOff>
      <xdr:row>16</xdr:row>
      <xdr:rowOff>0</xdr:rowOff>
    </xdr:from>
    <xdr:ext cx="1748790" cy="1371600"/>
    <xdr:cxnSp macro="">
      <xdr:nvCxnSpPr>
        <xdr:cNvPr id="82" name="Straight Connector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0820400" y="2724150"/>
          <a:ext cx="1748790" cy="137160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28577</xdr:colOff>
      <xdr:row>16</xdr:row>
      <xdr:rowOff>19050</xdr:rowOff>
    </xdr:from>
    <xdr:ext cx="1666873" cy="1352550"/>
    <xdr:cxnSp macro="">
      <xdr:nvCxnSpPr>
        <xdr:cNvPr id="83" name="Straight Connector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0868027" y="2743200"/>
          <a:ext cx="1666873" cy="135255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59055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5886450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638925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638925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5895975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A7" workbookViewId="0">
      <selection activeCell="D21" sqref="D21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9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9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4" ht="12" customHeight="1">
      <c r="A1" s="181" t="s">
        <v>40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3"/>
    </row>
    <row r="2" spans="1:24" ht="12" customHeight="1">
      <c r="A2" s="2" t="s">
        <v>0</v>
      </c>
      <c r="B2" s="184" t="s">
        <v>44</v>
      </c>
      <c r="C2" s="159"/>
      <c r="D2" s="159"/>
      <c r="E2" s="3"/>
      <c r="F2" s="4"/>
      <c r="G2" s="5"/>
      <c r="H2" s="6"/>
      <c r="I2" s="6"/>
      <c r="J2" s="7"/>
      <c r="K2" s="6"/>
      <c r="L2" s="6"/>
      <c r="M2" s="6"/>
      <c r="N2" s="8"/>
      <c r="O2" s="6"/>
      <c r="P2" s="9" t="s">
        <v>1</v>
      </c>
      <c r="Q2" s="138" t="s">
        <v>62</v>
      </c>
      <c r="R2" s="4"/>
      <c r="S2" s="3"/>
      <c r="T2" s="3"/>
      <c r="U2" s="3"/>
      <c r="V2" s="10"/>
      <c r="W2" s="11"/>
    </row>
    <row r="3" spans="1:24" ht="12" customHeight="1">
      <c r="A3" s="2" t="s">
        <v>2</v>
      </c>
      <c r="B3" s="184" t="s">
        <v>3</v>
      </c>
      <c r="C3" s="159"/>
      <c r="D3" s="159"/>
      <c r="E3" s="3"/>
      <c r="F3" s="4"/>
      <c r="G3" s="5"/>
      <c r="H3" s="3"/>
      <c r="I3" s="3"/>
      <c r="J3" s="12"/>
      <c r="K3" s="3"/>
      <c r="L3" s="3"/>
      <c r="M3" s="3"/>
      <c r="N3" s="13"/>
      <c r="O3" s="3"/>
      <c r="P3" s="9" t="s">
        <v>4</v>
      </c>
      <c r="Q3" s="3" t="s">
        <v>41</v>
      </c>
      <c r="R3" s="4"/>
      <c r="S3" s="3"/>
      <c r="T3" s="3"/>
      <c r="U3" s="3"/>
      <c r="V3" s="3"/>
      <c r="W3" s="14"/>
    </row>
    <row r="4" spans="1:24" ht="12" customHeight="1">
      <c r="A4" s="15" t="s">
        <v>5</v>
      </c>
      <c r="B4" s="185"/>
      <c r="C4" s="162"/>
      <c r="D4" s="162"/>
      <c r="E4" s="16"/>
      <c r="F4" s="17"/>
      <c r="G4" s="17"/>
      <c r="H4" s="6"/>
      <c r="I4" s="6"/>
      <c r="J4" s="7"/>
      <c r="K4" s="6"/>
      <c r="L4" s="6"/>
      <c r="M4" s="6"/>
      <c r="N4" s="8"/>
      <c r="O4" s="6"/>
      <c r="P4" s="6" t="s">
        <v>6</v>
      </c>
      <c r="Q4" s="185" t="s">
        <v>7</v>
      </c>
      <c r="R4" s="162"/>
      <c r="S4" s="6"/>
      <c r="T4" s="6"/>
      <c r="U4" s="6"/>
      <c r="V4" s="6"/>
      <c r="W4" s="11"/>
    </row>
    <row r="5" spans="1:24" ht="12" customHeight="1">
      <c r="A5" s="18"/>
      <c r="G5" s="20"/>
      <c r="J5" s="7"/>
      <c r="N5" s="8"/>
      <c r="W5" s="21"/>
    </row>
    <row r="6" spans="1:24" ht="34.5" customHeight="1" thickBot="1">
      <c r="A6" s="22" t="s">
        <v>8</v>
      </c>
      <c r="B6" s="23" t="s">
        <v>9</v>
      </c>
      <c r="C6" s="23" t="s">
        <v>10</v>
      </c>
      <c r="D6" s="24" t="s">
        <v>11</v>
      </c>
      <c r="E6" s="24" t="s">
        <v>12</v>
      </c>
      <c r="F6" s="25" t="s">
        <v>13</v>
      </c>
      <c r="G6" s="186" t="s">
        <v>14</v>
      </c>
      <c r="H6" s="187"/>
      <c r="I6" s="188"/>
      <c r="J6" s="189" t="s">
        <v>15</v>
      </c>
      <c r="K6" s="190"/>
      <c r="L6" s="190"/>
      <c r="M6" s="190"/>
      <c r="N6" s="191"/>
      <c r="O6" s="186" t="s">
        <v>14</v>
      </c>
      <c r="P6" s="187"/>
      <c r="Q6" s="188"/>
      <c r="R6" s="25" t="s">
        <v>13</v>
      </c>
      <c r="S6" s="24" t="s">
        <v>12</v>
      </c>
      <c r="T6" s="24" t="s">
        <v>11</v>
      </c>
      <c r="U6" s="23" t="s">
        <v>10</v>
      </c>
      <c r="V6" s="23" t="s">
        <v>9</v>
      </c>
      <c r="W6" s="26" t="s">
        <v>8</v>
      </c>
    </row>
    <row r="7" spans="1:24" ht="12" customHeight="1" thickTop="1">
      <c r="A7" s="27"/>
      <c r="B7" s="28"/>
      <c r="C7" s="29"/>
      <c r="D7" s="29"/>
      <c r="E7" s="29"/>
      <c r="F7" s="30"/>
      <c r="G7" s="31" t="s">
        <v>16</v>
      </c>
      <c r="H7" s="32" t="s">
        <v>17</v>
      </c>
      <c r="I7" s="32" t="s">
        <v>18</v>
      </c>
      <c r="J7" s="33"/>
      <c r="K7" s="34"/>
      <c r="L7" s="35"/>
      <c r="M7" s="35"/>
      <c r="N7" s="36"/>
      <c r="O7" s="37" t="s">
        <v>16</v>
      </c>
      <c r="P7" s="32" t="s">
        <v>17</v>
      </c>
      <c r="Q7" s="38" t="s">
        <v>18</v>
      </c>
      <c r="R7" s="39"/>
      <c r="S7" s="40"/>
      <c r="T7" s="40"/>
      <c r="U7" s="40"/>
      <c r="V7" s="28"/>
      <c r="W7" s="41"/>
    </row>
    <row r="8" spans="1:24" ht="12" customHeight="1">
      <c r="A8" s="62" t="s">
        <v>53</v>
      </c>
      <c r="B8" s="42" t="s">
        <v>23</v>
      </c>
      <c r="C8" s="43">
        <v>5</v>
      </c>
      <c r="D8" s="63">
        <v>250</v>
      </c>
      <c r="E8" s="44">
        <f t="shared" ref="E8" si="0">C8*D8</f>
        <v>1250</v>
      </c>
      <c r="F8" s="45">
        <v>0.45</v>
      </c>
      <c r="G8" s="46">
        <f>E8*F8</f>
        <v>562.5</v>
      </c>
      <c r="H8" s="43"/>
      <c r="I8" s="47"/>
      <c r="J8" s="48">
        <v>1</v>
      </c>
      <c r="K8" s="49">
        <v>30</v>
      </c>
      <c r="L8" s="172"/>
      <c r="M8" s="49">
        <v>20</v>
      </c>
      <c r="N8" s="50">
        <v>13</v>
      </c>
      <c r="O8" s="51">
        <f>S8*R8</f>
        <v>1200</v>
      </c>
      <c r="P8" s="51"/>
      <c r="R8" s="133">
        <v>0.4</v>
      </c>
      <c r="S8" s="134">
        <f t="shared" ref="S8:S25" si="1">T8*U8</f>
        <v>3000</v>
      </c>
      <c r="T8" s="135">
        <v>3000</v>
      </c>
      <c r="U8" s="134">
        <v>1</v>
      </c>
      <c r="V8" s="141" t="s">
        <v>20</v>
      </c>
      <c r="W8" s="146" t="s">
        <v>63</v>
      </c>
    </row>
    <row r="9" spans="1:24" ht="12" customHeight="1">
      <c r="A9" s="129" t="s">
        <v>47</v>
      </c>
      <c r="B9" s="130" t="s">
        <v>21</v>
      </c>
      <c r="C9" s="131">
        <v>9</v>
      </c>
      <c r="D9" s="53">
        <v>100</v>
      </c>
      <c r="E9" s="44">
        <f t="shared" ref="E8:E25" si="2">C9*D9</f>
        <v>900</v>
      </c>
      <c r="F9" s="45">
        <v>0.45</v>
      </c>
      <c r="G9" s="55"/>
      <c r="H9" s="55">
        <f>E9*F9</f>
        <v>405</v>
      </c>
      <c r="J9" s="48">
        <v>2</v>
      </c>
      <c r="K9" s="49">
        <v>10</v>
      </c>
      <c r="L9" s="173"/>
      <c r="M9" s="49">
        <v>10</v>
      </c>
      <c r="N9" s="50">
        <v>14</v>
      </c>
      <c r="P9" s="55">
        <f>S9*R9</f>
        <v>495</v>
      </c>
      <c r="Q9" s="55"/>
      <c r="R9" s="45">
        <v>0.45</v>
      </c>
      <c r="S9" s="52">
        <f t="shared" si="1"/>
        <v>1100</v>
      </c>
      <c r="T9" s="53">
        <v>100</v>
      </c>
      <c r="U9" s="43">
        <v>11</v>
      </c>
      <c r="V9" s="140" t="s">
        <v>21</v>
      </c>
      <c r="W9" s="144" t="s">
        <v>49</v>
      </c>
    </row>
    <row r="10" spans="1:24" ht="12" customHeight="1">
      <c r="A10" s="129" t="s">
        <v>46</v>
      </c>
      <c r="B10" s="130" t="s">
        <v>21</v>
      </c>
      <c r="C10" s="131">
        <v>1</v>
      </c>
      <c r="D10" s="53">
        <v>1000</v>
      </c>
      <c r="E10" s="44">
        <f t="shared" si="2"/>
        <v>1000</v>
      </c>
      <c r="F10" s="45">
        <v>0.45</v>
      </c>
      <c r="G10" s="55"/>
      <c r="I10" s="55">
        <f>E10*F10</f>
        <v>450</v>
      </c>
      <c r="J10" s="48">
        <v>3</v>
      </c>
      <c r="K10" s="49">
        <v>10</v>
      </c>
      <c r="L10" s="173"/>
      <c r="M10" s="49">
        <v>10</v>
      </c>
      <c r="N10" s="50">
        <v>15</v>
      </c>
      <c r="O10" s="57"/>
      <c r="Q10" s="55">
        <f>S10*R10</f>
        <v>450</v>
      </c>
      <c r="R10" s="45">
        <v>0.45</v>
      </c>
      <c r="S10" s="52">
        <f t="shared" si="1"/>
        <v>1000</v>
      </c>
      <c r="T10" s="53">
        <v>100</v>
      </c>
      <c r="U10" s="43">
        <v>10</v>
      </c>
      <c r="V10" s="140" t="s">
        <v>21</v>
      </c>
      <c r="W10" s="144" t="s">
        <v>50</v>
      </c>
    </row>
    <row r="11" spans="1:24" ht="12" customHeight="1">
      <c r="A11" s="147" t="s">
        <v>64</v>
      </c>
      <c r="B11" s="136" t="s">
        <v>19</v>
      </c>
      <c r="C11" s="148">
        <v>1</v>
      </c>
      <c r="D11" s="135">
        <v>1500</v>
      </c>
      <c r="E11" s="149">
        <f t="shared" si="2"/>
        <v>1500</v>
      </c>
      <c r="F11" s="133">
        <v>0.8</v>
      </c>
      <c r="G11" s="55">
        <f>E11*F11</f>
        <v>1200</v>
      </c>
      <c r="H11" s="57"/>
      <c r="J11" s="48">
        <v>4</v>
      </c>
      <c r="K11" s="49">
        <v>20</v>
      </c>
      <c r="L11" s="173"/>
      <c r="M11" s="49">
        <v>20</v>
      </c>
      <c r="N11" s="50">
        <v>16</v>
      </c>
      <c r="O11" s="51">
        <f>S11*R11</f>
        <v>1360</v>
      </c>
      <c r="P11" s="51"/>
      <c r="R11" s="133">
        <v>0.8</v>
      </c>
      <c r="S11" s="134">
        <f t="shared" si="1"/>
        <v>1700</v>
      </c>
      <c r="T11" s="135">
        <v>1700</v>
      </c>
      <c r="U11" s="134">
        <v>1</v>
      </c>
      <c r="V11" s="141" t="s">
        <v>19</v>
      </c>
      <c r="W11" s="144" t="s">
        <v>57</v>
      </c>
    </row>
    <row r="12" spans="1:24" ht="12" customHeight="1">
      <c r="A12" s="62" t="s">
        <v>51</v>
      </c>
      <c r="B12" s="42" t="s">
        <v>23</v>
      </c>
      <c r="C12" s="43">
        <v>6</v>
      </c>
      <c r="D12" s="63">
        <v>250</v>
      </c>
      <c r="E12" s="44">
        <f t="shared" si="2"/>
        <v>1500</v>
      </c>
      <c r="F12" s="45">
        <v>0.45</v>
      </c>
      <c r="G12" s="58"/>
      <c r="H12" s="55">
        <f>E12*F12</f>
        <v>675</v>
      </c>
      <c r="I12" s="59"/>
      <c r="J12" s="48">
        <v>5</v>
      </c>
      <c r="K12" s="49">
        <v>30</v>
      </c>
      <c r="L12" s="173"/>
      <c r="M12" s="49">
        <v>20</v>
      </c>
      <c r="N12" s="50">
        <v>17</v>
      </c>
      <c r="O12" s="51"/>
      <c r="P12" s="51">
        <f>R12*S12</f>
        <v>680</v>
      </c>
      <c r="Q12" s="59"/>
      <c r="R12" s="133">
        <v>0.8</v>
      </c>
      <c r="S12" s="134">
        <f t="shared" si="1"/>
        <v>850</v>
      </c>
      <c r="T12" s="135">
        <v>850</v>
      </c>
      <c r="U12" s="134">
        <v>1</v>
      </c>
      <c r="V12" s="141" t="s">
        <v>19</v>
      </c>
      <c r="W12" s="144" t="s">
        <v>56</v>
      </c>
    </row>
    <row r="13" spans="1:24" ht="12" customHeight="1">
      <c r="A13" s="62" t="s">
        <v>54</v>
      </c>
      <c r="B13" s="42" t="s">
        <v>23</v>
      </c>
      <c r="C13" s="43">
        <v>4</v>
      </c>
      <c r="D13" s="63">
        <v>250</v>
      </c>
      <c r="E13" s="44">
        <f t="shared" si="2"/>
        <v>1000</v>
      </c>
      <c r="F13" s="45">
        <v>0.45</v>
      </c>
      <c r="I13" s="55">
        <f>E13*F13</f>
        <v>450</v>
      </c>
      <c r="J13" s="48">
        <v>6</v>
      </c>
      <c r="K13" s="49">
        <v>30</v>
      </c>
      <c r="L13" s="173"/>
      <c r="M13" s="60">
        <v>20</v>
      </c>
      <c r="N13" s="50">
        <v>18</v>
      </c>
      <c r="P13" s="61"/>
      <c r="Q13" s="55">
        <f>S13*R13</f>
        <v>680</v>
      </c>
      <c r="R13" s="133">
        <v>0.8</v>
      </c>
      <c r="S13" s="134">
        <f t="shared" si="1"/>
        <v>850</v>
      </c>
      <c r="T13" s="135">
        <v>850</v>
      </c>
      <c r="U13" s="134">
        <v>1</v>
      </c>
      <c r="V13" s="141" t="s">
        <v>19</v>
      </c>
      <c r="W13" s="144" t="s">
        <v>58</v>
      </c>
      <c r="X13" s="142"/>
    </row>
    <row r="14" spans="1:24" ht="12" customHeight="1">
      <c r="A14" s="132" t="s">
        <v>22</v>
      </c>
      <c r="B14" s="42" t="s">
        <v>23</v>
      </c>
      <c r="C14" s="43">
        <v>0</v>
      </c>
      <c r="D14" s="63">
        <v>250</v>
      </c>
      <c r="E14" s="44">
        <f t="shared" si="2"/>
        <v>0</v>
      </c>
      <c r="F14" s="45">
        <v>0.45</v>
      </c>
      <c r="G14" s="55">
        <f>E14*F14</f>
        <v>0</v>
      </c>
      <c r="H14" s="51"/>
      <c r="I14" s="51"/>
      <c r="J14" s="48">
        <v>7</v>
      </c>
      <c r="K14" s="49">
        <v>30</v>
      </c>
      <c r="L14" s="173"/>
      <c r="M14" s="60">
        <v>20</v>
      </c>
      <c r="N14" s="50">
        <v>19</v>
      </c>
      <c r="O14" s="51">
        <f>S14*R14</f>
        <v>680</v>
      </c>
      <c r="P14" s="59"/>
      <c r="Q14" s="51"/>
      <c r="R14" s="133">
        <v>0.8</v>
      </c>
      <c r="S14" s="134">
        <f t="shared" si="1"/>
        <v>850</v>
      </c>
      <c r="T14" s="135">
        <v>850</v>
      </c>
      <c r="U14" s="134">
        <v>1</v>
      </c>
      <c r="V14" s="136" t="s">
        <v>19</v>
      </c>
      <c r="W14" s="145" t="s">
        <v>59</v>
      </c>
    </row>
    <row r="15" spans="1:24" ht="12" customHeight="1">
      <c r="A15" s="62" t="s">
        <v>52</v>
      </c>
      <c r="B15" s="42" t="s">
        <v>23</v>
      </c>
      <c r="C15" s="43">
        <v>3</v>
      </c>
      <c r="D15" s="63">
        <v>250</v>
      </c>
      <c r="E15" s="44">
        <f t="shared" si="2"/>
        <v>750</v>
      </c>
      <c r="F15" s="45">
        <v>0.45</v>
      </c>
      <c r="G15" s="55"/>
      <c r="H15" s="51">
        <f>E15*F15</f>
        <v>337.5</v>
      </c>
      <c r="J15" s="48">
        <v>8</v>
      </c>
      <c r="K15" s="64">
        <v>30</v>
      </c>
      <c r="L15" s="173"/>
      <c r="M15" s="60">
        <v>20</v>
      </c>
      <c r="N15" s="50">
        <v>20</v>
      </c>
      <c r="P15" s="51">
        <f>S15*R15</f>
        <v>680</v>
      </c>
      <c r="Q15" s="51"/>
      <c r="R15" s="133">
        <v>0.8</v>
      </c>
      <c r="S15" s="134">
        <f t="shared" si="1"/>
        <v>850</v>
      </c>
      <c r="T15" s="135">
        <v>850</v>
      </c>
      <c r="U15" s="134">
        <v>1</v>
      </c>
      <c r="V15" s="136" t="s">
        <v>19</v>
      </c>
      <c r="W15" s="137" t="s">
        <v>60</v>
      </c>
    </row>
    <row r="16" spans="1:24" ht="12" customHeight="1">
      <c r="A16" s="129" t="s">
        <v>45</v>
      </c>
      <c r="B16" s="130" t="s">
        <v>21</v>
      </c>
      <c r="C16" s="131">
        <v>15</v>
      </c>
      <c r="D16" s="53">
        <v>100</v>
      </c>
      <c r="E16" s="44">
        <f t="shared" si="2"/>
        <v>1500</v>
      </c>
      <c r="F16" s="45">
        <v>0.45</v>
      </c>
      <c r="G16" s="55"/>
      <c r="I16" s="51">
        <f>E16*F16</f>
        <v>675</v>
      </c>
      <c r="J16" s="48">
        <v>9</v>
      </c>
      <c r="K16" s="64">
        <v>10</v>
      </c>
      <c r="L16" s="173"/>
      <c r="M16" s="60">
        <v>20</v>
      </c>
      <c r="N16" s="50">
        <v>21</v>
      </c>
      <c r="O16" s="51"/>
      <c r="P16" s="51"/>
      <c r="Q16" s="51">
        <f>R16*S16</f>
        <v>680</v>
      </c>
      <c r="R16" s="133">
        <v>0.8</v>
      </c>
      <c r="S16" s="134">
        <f t="shared" si="1"/>
        <v>850</v>
      </c>
      <c r="T16" s="135">
        <v>850</v>
      </c>
      <c r="U16" s="134">
        <v>1</v>
      </c>
      <c r="V16" s="136" t="s">
        <v>19</v>
      </c>
      <c r="W16" s="137" t="s">
        <v>61</v>
      </c>
    </row>
    <row r="17" spans="1:23" ht="12" customHeight="1">
      <c r="A17" s="147" t="s">
        <v>22</v>
      </c>
      <c r="B17" s="136" t="s">
        <v>19</v>
      </c>
      <c r="C17" s="148">
        <v>0</v>
      </c>
      <c r="D17" s="135">
        <v>1500</v>
      </c>
      <c r="E17" s="149">
        <f t="shared" si="2"/>
        <v>0</v>
      </c>
      <c r="F17" s="133">
        <v>0.8</v>
      </c>
      <c r="G17" s="51">
        <f>F17*E17</f>
        <v>0</v>
      </c>
      <c r="H17" s="68"/>
      <c r="I17" s="51"/>
      <c r="J17" s="48">
        <v>10</v>
      </c>
      <c r="K17" s="64">
        <v>30</v>
      </c>
      <c r="L17" s="173"/>
      <c r="M17" s="60">
        <v>30</v>
      </c>
      <c r="N17" s="50">
        <v>22</v>
      </c>
      <c r="O17" s="51">
        <f>S17*R17</f>
        <v>0</v>
      </c>
      <c r="Q17" s="51"/>
      <c r="R17" s="133">
        <v>0.4</v>
      </c>
      <c r="S17" s="134">
        <f t="shared" si="1"/>
        <v>0</v>
      </c>
      <c r="T17" s="135">
        <v>3000</v>
      </c>
      <c r="U17" s="134">
        <v>0</v>
      </c>
      <c r="V17" s="141" t="s">
        <v>20</v>
      </c>
      <c r="W17" s="146" t="s">
        <v>22</v>
      </c>
    </row>
    <row r="18" spans="1:23" ht="12" customHeight="1">
      <c r="A18" s="147" t="s">
        <v>65</v>
      </c>
      <c r="B18" s="136" t="s">
        <v>19</v>
      </c>
      <c r="C18" s="148">
        <v>1</v>
      </c>
      <c r="D18" s="135">
        <v>1500</v>
      </c>
      <c r="E18" s="149">
        <f t="shared" si="2"/>
        <v>1500</v>
      </c>
      <c r="F18" s="133">
        <v>0.8</v>
      </c>
      <c r="G18" s="55"/>
      <c r="H18" s="51">
        <f>E18*F18</f>
        <v>1200</v>
      </c>
      <c r="J18" s="48">
        <v>11</v>
      </c>
      <c r="K18" s="64">
        <v>20</v>
      </c>
      <c r="L18" s="173"/>
      <c r="M18" s="60">
        <v>30</v>
      </c>
      <c r="N18" s="50">
        <v>23</v>
      </c>
      <c r="P18" s="51">
        <f>R18*S18</f>
        <v>450</v>
      </c>
      <c r="Q18" s="51"/>
      <c r="R18" s="55">
        <v>0.45</v>
      </c>
      <c r="S18" s="52">
        <f t="shared" si="1"/>
        <v>1000</v>
      </c>
      <c r="T18" s="44">
        <v>250</v>
      </c>
      <c r="U18" s="52">
        <v>4</v>
      </c>
      <c r="V18" s="207" t="s">
        <v>23</v>
      </c>
      <c r="W18" s="208" t="s">
        <v>55</v>
      </c>
    </row>
    <row r="19" spans="1:23" ht="12" customHeight="1">
      <c r="A19" s="147" t="s">
        <v>66</v>
      </c>
      <c r="B19" s="136" t="s">
        <v>19</v>
      </c>
      <c r="C19" s="148">
        <v>1</v>
      </c>
      <c r="D19" s="135">
        <v>1500</v>
      </c>
      <c r="E19" s="149">
        <f t="shared" si="2"/>
        <v>1500</v>
      </c>
      <c r="F19" s="133">
        <v>0.8</v>
      </c>
      <c r="G19" s="55"/>
      <c r="I19" s="51">
        <f>E19*F19</f>
        <v>1200</v>
      </c>
      <c r="J19" s="48">
        <v>12</v>
      </c>
      <c r="K19" s="64">
        <v>20</v>
      </c>
      <c r="L19" s="173"/>
      <c r="M19" s="64">
        <v>10</v>
      </c>
      <c r="N19" s="50">
        <v>24</v>
      </c>
      <c r="O19" s="51"/>
      <c r="P19" s="51"/>
      <c r="Q19" s="51">
        <f>R19*S19</f>
        <v>405</v>
      </c>
      <c r="R19" s="45">
        <v>0.45</v>
      </c>
      <c r="S19" s="52">
        <f t="shared" si="1"/>
        <v>900</v>
      </c>
      <c r="T19" s="53">
        <v>100</v>
      </c>
      <c r="U19" s="43">
        <v>9</v>
      </c>
      <c r="V19" s="140" t="s">
        <v>21</v>
      </c>
      <c r="W19" s="203" t="s">
        <v>48</v>
      </c>
    </row>
    <row r="20" spans="1:23" ht="12" customHeight="1">
      <c r="A20" s="54" t="s">
        <v>22</v>
      </c>
      <c r="B20" s="42" t="s">
        <v>19</v>
      </c>
      <c r="C20" s="43">
        <v>0</v>
      </c>
      <c r="D20" s="63">
        <v>1500</v>
      </c>
      <c r="E20" s="44">
        <f t="shared" si="2"/>
        <v>0</v>
      </c>
      <c r="F20" s="45">
        <v>0.8</v>
      </c>
      <c r="G20" s="51">
        <f>E20*F20</f>
        <v>0</v>
      </c>
      <c r="H20" s="51"/>
      <c r="I20" s="51"/>
      <c r="J20" s="48"/>
      <c r="K20" s="64">
        <v>20</v>
      </c>
      <c r="L20" s="173"/>
      <c r="M20" s="64">
        <v>30</v>
      </c>
      <c r="N20" s="48"/>
      <c r="O20" s="51">
        <f>R20*S20</f>
        <v>0</v>
      </c>
      <c r="Q20" s="51"/>
      <c r="R20" s="55">
        <v>0.6</v>
      </c>
      <c r="S20" s="52">
        <f t="shared" si="1"/>
        <v>0</v>
      </c>
      <c r="T20" s="63">
        <v>3000</v>
      </c>
      <c r="U20" s="52">
        <v>0</v>
      </c>
      <c r="V20" s="51" t="s">
        <v>20</v>
      </c>
      <c r="W20" s="67" t="s">
        <v>22</v>
      </c>
    </row>
    <row r="21" spans="1:23" ht="12" customHeight="1">
      <c r="A21" s="132" t="s">
        <v>22</v>
      </c>
      <c r="B21" s="42" t="s">
        <v>23</v>
      </c>
      <c r="C21" s="43">
        <v>0</v>
      </c>
      <c r="D21" s="63">
        <v>250</v>
      </c>
      <c r="E21" s="44">
        <f t="shared" si="2"/>
        <v>0</v>
      </c>
      <c r="F21" s="45">
        <v>0.45</v>
      </c>
      <c r="G21" s="55"/>
      <c r="H21" s="51">
        <f>E21*F21</f>
        <v>0</v>
      </c>
      <c r="J21" s="48"/>
      <c r="K21" s="64">
        <v>20</v>
      </c>
      <c r="L21" s="173"/>
      <c r="M21" s="64">
        <v>20</v>
      </c>
      <c r="N21" s="50"/>
      <c r="P21" s="51">
        <f>R21*S21</f>
        <v>0</v>
      </c>
      <c r="Q21" s="51"/>
      <c r="R21" s="55">
        <v>1</v>
      </c>
      <c r="S21" s="52">
        <f t="shared" si="1"/>
        <v>0</v>
      </c>
      <c r="T21" s="63">
        <v>400</v>
      </c>
      <c r="U21" s="52">
        <v>0</v>
      </c>
      <c r="V21" s="51" t="s">
        <v>24</v>
      </c>
      <c r="W21" s="67" t="s">
        <v>22</v>
      </c>
    </row>
    <row r="22" spans="1:23" ht="12" customHeight="1">
      <c r="A22" s="129" t="s">
        <v>22</v>
      </c>
      <c r="B22" s="130" t="s">
        <v>21</v>
      </c>
      <c r="C22" s="131">
        <v>0</v>
      </c>
      <c r="D22" s="53">
        <v>100</v>
      </c>
      <c r="E22" s="44">
        <f t="shared" ref="E22" si="3">C22*D22</f>
        <v>0</v>
      </c>
      <c r="F22" s="45">
        <v>0.45</v>
      </c>
      <c r="G22" s="55"/>
      <c r="I22" s="51">
        <f>E22*F22</f>
        <v>0</v>
      </c>
      <c r="J22" s="48"/>
      <c r="K22" s="64">
        <v>15</v>
      </c>
      <c r="L22" s="173"/>
      <c r="M22" s="64">
        <v>20</v>
      </c>
      <c r="N22" s="50"/>
      <c r="O22" s="51"/>
      <c r="P22" s="51"/>
      <c r="Q22" s="51">
        <f>R22*S22</f>
        <v>0</v>
      </c>
      <c r="R22" s="45">
        <v>0.8</v>
      </c>
      <c r="S22" s="52">
        <f t="shared" si="1"/>
        <v>0</v>
      </c>
      <c r="T22" s="44">
        <v>1492</v>
      </c>
      <c r="U22" s="52">
        <v>0</v>
      </c>
      <c r="V22" s="51" t="s">
        <v>19</v>
      </c>
      <c r="W22" s="67" t="s">
        <v>22</v>
      </c>
    </row>
    <row r="23" spans="1:23" ht="12" customHeight="1">
      <c r="A23" s="54" t="s">
        <v>22</v>
      </c>
      <c r="B23" s="42" t="s">
        <v>19</v>
      </c>
      <c r="C23" s="43">
        <v>0</v>
      </c>
      <c r="D23" s="63">
        <v>1200</v>
      </c>
      <c r="E23" s="44">
        <f t="shared" si="2"/>
        <v>0</v>
      </c>
      <c r="F23" s="45">
        <v>1</v>
      </c>
      <c r="G23" s="51">
        <f>E23*F23</f>
        <v>0</v>
      </c>
      <c r="H23" s="51"/>
      <c r="I23" s="51"/>
      <c r="J23" s="48"/>
      <c r="K23" s="64">
        <v>20</v>
      </c>
      <c r="L23" s="173"/>
      <c r="M23" s="64">
        <v>20</v>
      </c>
      <c r="N23" s="50"/>
      <c r="O23" s="51">
        <f>R23*S23</f>
        <v>0</v>
      </c>
      <c r="Q23" s="51"/>
      <c r="R23" s="55">
        <v>1</v>
      </c>
      <c r="S23" s="52">
        <f t="shared" si="1"/>
        <v>0</v>
      </c>
      <c r="T23" s="63">
        <v>400</v>
      </c>
      <c r="U23" s="52">
        <v>0</v>
      </c>
      <c r="V23" s="66" t="s">
        <v>24</v>
      </c>
      <c r="W23" s="67" t="s">
        <v>22</v>
      </c>
    </row>
    <row r="24" spans="1:23" ht="12" customHeight="1">
      <c r="A24" s="54" t="s">
        <v>22</v>
      </c>
      <c r="B24" s="42" t="s">
        <v>19</v>
      </c>
      <c r="C24" s="43">
        <v>0</v>
      </c>
      <c r="D24" s="63">
        <v>1200</v>
      </c>
      <c r="E24" s="44">
        <f t="shared" si="2"/>
        <v>0</v>
      </c>
      <c r="F24" s="45">
        <v>1</v>
      </c>
      <c r="G24" s="55"/>
      <c r="H24" s="51">
        <f>E24*F24</f>
        <v>0</v>
      </c>
      <c r="J24" s="48"/>
      <c r="K24" s="64">
        <v>20</v>
      </c>
      <c r="L24" s="173"/>
      <c r="M24" s="64">
        <v>20</v>
      </c>
      <c r="N24" s="50"/>
      <c r="P24" s="51">
        <f>R24*S24</f>
        <v>0</v>
      </c>
      <c r="Q24" s="51"/>
      <c r="R24" s="55">
        <v>1</v>
      </c>
      <c r="S24" s="52">
        <f t="shared" si="1"/>
        <v>0</v>
      </c>
      <c r="T24" s="63">
        <v>400</v>
      </c>
      <c r="U24" s="52">
        <v>0</v>
      </c>
      <c r="V24" s="66" t="s">
        <v>24</v>
      </c>
      <c r="W24" s="67" t="s">
        <v>22</v>
      </c>
    </row>
    <row r="25" spans="1:23" ht="12" customHeight="1">
      <c r="A25" s="65" t="s">
        <v>22</v>
      </c>
      <c r="B25" s="42" t="s">
        <v>19</v>
      </c>
      <c r="C25" s="43">
        <v>0</v>
      </c>
      <c r="D25" s="63">
        <v>1200</v>
      </c>
      <c r="E25" s="44">
        <f t="shared" si="2"/>
        <v>0</v>
      </c>
      <c r="F25" s="45">
        <v>1</v>
      </c>
      <c r="G25" s="55"/>
      <c r="I25" s="51">
        <f>E25*F25</f>
        <v>0</v>
      </c>
      <c r="J25" s="48"/>
      <c r="K25" s="64">
        <v>20</v>
      </c>
      <c r="L25" s="173"/>
      <c r="M25" s="64">
        <v>20</v>
      </c>
      <c r="N25" s="50"/>
      <c r="O25" s="51"/>
      <c r="P25" s="51"/>
      <c r="Q25" s="51">
        <f>R25*S25</f>
        <v>0</v>
      </c>
      <c r="R25" s="55">
        <v>1</v>
      </c>
      <c r="S25" s="52">
        <f t="shared" si="1"/>
        <v>0</v>
      </c>
      <c r="T25" s="63">
        <v>400</v>
      </c>
      <c r="U25" s="52">
        <v>0</v>
      </c>
      <c r="V25" s="66" t="s">
        <v>24</v>
      </c>
      <c r="W25" s="67" t="s">
        <v>22</v>
      </c>
    </row>
    <row r="26" spans="1:23" ht="12" customHeight="1">
      <c r="A26" s="175" t="s">
        <v>25</v>
      </c>
      <c r="B26" s="157"/>
      <c r="C26" s="69"/>
      <c r="D26" s="69"/>
      <c r="E26" s="70">
        <f>SUM(E8:E25)</f>
        <v>12400</v>
      </c>
      <c r="F26" s="71"/>
      <c r="G26" s="72">
        <f t="shared" ref="G26:I26" si="4">SUM(G8:G25)</f>
        <v>1762.5</v>
      </c>
      <c r="H26" s="51">
        <f t="shared" si="4"/>
        <v>2617.5</v>
      </c>
      <c r="I26" s="51">
        <f t="shared" si="4"/>
        <v>2775</v>
      </c>
      <c r="J26" s="69"/>
      <c r="K26" s="73"/>
      <c r="L26" s="174"/>
      <c r="M26" s="73"/>
      <c r="N26" s="74"/>
      <c r="O26" s="55">
        <f>SUM(O8:O25)</f>
        <v>3240</v>
      </c>
      <c r="P26" s="72">
        <f t="shared" ref="P26:Q26" si="5">SUM(P8:P25)</f>
        <v>2305</v>
      </c>
      <c r="Q26" s="55">
        <f t="shared" si="5"/>
        <v>2215</v>
      </c>
      <c r="R26" s="55"/>
      <c r="S26" s="75">
        <f>SUM(S8:S25)</f>
        <v>12950</v>
      </c>
      <c r="T26" s="75"/>
      <c r="U26" s="72"/>
      <c r="V26" s="73"/>
      <c r="W26" s="76"/>
    </row>
    <row r="27" spans="1:23" ht="12" customHeight="1">
      <c r="A27" s="77" t="s">
        <v>26</v>
      </c>
      <c r="B27" s="69"/>
      <c r="C27" s="69"/>
      <c r="D27" s="69"/>
      <c r="E27" s="69"/>
      <c r="F27" s="71"/>
      <c r="G27" s="78"/>
      <c r="H27" s="79"/>
      <c r="I27" s="79"/>
      <c r="J27" s="69"/>
      <c r="K27" s="80"/>
      <c r="L27" s="80"/>
      <c r="M27" s="80" t="s">
        <v>103</v>
      </c>
      <c r="N27" s="74"/>
      <c r="O27" s="80"/>
      <c r="P27" s="80"/>
      <c r="Q27" s="80"/>
      <c r="R27" s="78"/>
      <c r="S27" s="80"/>
      <c r="T27" s="80"/>
      <c r="U27" s="79"/>
      <c r="V27" s="80"/>
      <c r="W27" s="76"/>
    </row>
    <row r="28" spans="1:23" ht="12" customHeight="1" thickBot="1">
      <c r="A28" s="176"/>
      <c r="B28" s="177"/>
      <c r="C28" s="81"/>
      <c r="D28" s="81"/>
      <c r="E28" s="81"/>
      <c r="F28" s="82"/>
      <c r="G28" s="83"/>
      <c r="H28" s="84"/>
      <c r="I28" s="85"/>
      <c r="J28" s="81"/>
      <c r="K28" s="86"/>
      <c r="L28" s="86"/>
      <c r="M28" s="86"/>
      <c r="N28" s="87"/>
      <c r="O28" s="86"/>
      <c r="P28" s="86"/>
      <c r="Q28" s="86"/>
      <c r="R28" s="88"/>
      <c r="S28" s="86"/>
      <c r="T28" s="86"/>
      <c r="U28" s="84"/>
      <c r="V28" s="86"/>
      <c r="W28" s="89"/>
    </row>
    <row r="29" spans="1:23" ht="12" customHeight="1" thickTop="1">
      <c r="A29" s="90"/>
      <c r="B29" s="7"/>
      <c r="C29" s="7"/>
      <c r="D29" s="7"/>
      <c r="E29" s="7"/>
      <c r="F29" s="91"/>
      <c r="G29" s="20"/>
      <c r="J29" s="7"/>
      <c r="N29" s="8"/>
      <c r="O29" s="92"/>
      <c r="P29" s="92"/>
      <c r="Q29" s="92"/>
      <c r="V29" s="178"/>
      <c r="W29" s="179"/>
    </row>
    <row r="30" spans="1:23" ht="12" customHeight="1">
      <c r="A30" s="151" t="s">
        <v>27</v>
      </c>
      <c r="B30" s="93"/>
      <c r="C30" s="93"/>
      <c r="D30" s="93"/>
      <c r="E30" s="93"/>
      <c r="F30" s="94"/>
      <c r="G30" s="95"/>
      <c r="H30" s="93"/>
      <c r="I30" s="180" t="s">
        <v>16</v>
      </c>
      <c r="J30" s="164"/>
      <c r="K30" s="180" t="s">
        <v>17</v>
      </c>
      <c r="L30" s="164"/>
      <c r="M30" s="180" t="s">
        <v>18</v>
      </c>
      <c r="N30" s="162"/>
      <c r="O30" s="164"/>
      <c r="P30" s="66"/>
      <c r="Q30" s="42"/>
      <c r="R30" s="96"/>
      <c r="S30" s="97" t="s">
        <v>28</v>
      </c>
      <c r="T30" s="97"/>
      <c r="U30" s="97"/>
      <c r="V30" s="42"/>
      <c r="W30" s="98"/>
    </row>
    <row r="31" spans="1:23" ht="12" customHeight="1">
      <c r="A31" s="150" t="s">
        <v>67</v>
      </c>
      <c r="G31" s="99" t="s">
        <v>29</v>
      </c>
      <c r="H31" s="100"/>
      <c r="I31" s="165">
        <f>G26+O26</f>
        <v>5002.5</v>
      </c>
      <c r="J31" s="166"/>
      <c r="K31" s="165">
        <f>H26+P26</f>
        <v>4922.5</v>
      </c>
      <c r="L31" s="166"/>
      <c r="M31" s="165">
        <f>I26+Q26</f>
        <v>4990</v>
      </c>
      <c r="N31" s="167"/>
      <c r="O31" s="166"/>
      <c r="P31" s="158"/>
      <c r="Q31" s="157"/>
      <c r="R31" s="96"/>
      <c r="S31" s="168" t="s">
        <v>68</v>
      </c>
      <c r="T31" s="169"/>
      <c r="U31" s="169"/>
      <c r="V31" s="169"/>
      <c r="W31" s="170"/>
    </row>
    <row r="32" spans="1:23" ht="12" customHeight="1">
      <c r="A32" s="15"/>
      <c r="G32" s="171" t="s">
        <v>30</v>
      </c>
      <c r="H32" s="157"/>
      <c r="I32" s="102"/>
      <c r="J32" s="103"/>
      <c r="K32" s="104"/>
      <c r="L32" s="103"/>
      <c r="M32" s="104"/>
      <c r="N32" s="105"/>
      <c r="O32" s="103"/>
      <c r="P32" s="160">
        <v>500</v>
      </c>
      <c r="Q32" s="157"/>
      <c r="R32" s="96"/>
      <c r="S32" s="107"/>
      <c r="T32" s="107"/>
      <c r="U32" s="107"/>
      <c r="V32" s="108"/>
      <c r="W32" s="76"/>
    </row>
    <row r="33" spans="1:23" ht="12" customHeight="1">
      <c r="A33" s="109" t="s">
        <v>31</v>
      </c>
      <c r="G33" s="99" t="s">
        <v>32</v>
      </c>
      <c r="H33" s="100"/>
      <c r="I33" s="110"/>
      <c r="J33" s="42"/>
      <c r="K33" s="66"/>
      <c r="L33" s="42"/>
      <c r="M33" s="66"/>
      <c r="N33" s="111"/>
      <c r="O33" s="42"/>
      <c r="P33" s="156">
        <f>I31+K31+M31+P32</f>
        <v>15415</v>
      </c>
      <c r="Q33" s="157"/>
      <c r="R33" s="96" t="s">
        <v>33</v>
      </c>
      <c r="S33" s="42"/>
      <c r="T33" s="42"/>
      <c r="U33" s="42"/>
      <c r="V33" s="108"/>
      <c r="W33" s="76"/>
    </row>
    <row r="34" spans="1:23" ht="12" customHeight="1">
      <c r="A34" s="15" t="s">
        <v>42</v>
      </c>
      <c r="G34" s="99" t="s">
        <v>34</v>
      </c>
      <c r="H34" s="100"/>
      <c r="I34" s="158"/>
      <c r="J34" s="157"/>
      <c r="K34" s="158"/>
      <c r="L34" s="157"/>
      <c r="M34" s="158"/>
      <c r="N34" s="159"/>
      <c r="O34" s="157"/>
      <c r="P34" s="160">
        <v>0.8</v>
      </c>
      <c r="Q34" s="157"/>
      <c r="R34" s="96" t="s">
        <v>35</v>
      </c>
      <c r="S34" s="42"/>
      <c r="T34" s="42"/>
      <c r="U34" s="42"/>
      <c r="V34" s="108"/>
      <c r="W34" s="76"/>
    </row>
    <row r="35" spans="1:23" ht="12" customHeight="1">
      <c r="A35" s="15"/>
      <c r="G35" s="161" t="s">
        <v>36</v>
      </c>
      <c r="H35" s="162"/>
      <c r="I35" s="162"/>
      <c r="J35" s="112"/>
      <c r="K35" s="113"/>
      <c r="L35" s="112"/>
      <c r="M35" s="113"/>
      <c r="N35" s="114"/>
      <c r="O35" s="112"/>
      <c r="P35" s="163">
        <f>P33/P34</f>
        <v>19268.75</v>
      </c>
      <c r="Q35" s="164"/>
      <c r="R35" s="115" t="s">
        <v>37</v>
      </c>
      <c r="S35" s="112"/>
      <c r="T35" s="112"/>
      <c r="U35" s="112"/>
      <c r="V35" s="116"/>
      <c r="W35" s="56"/>
    </row>
    <row r="36" spans="1:23" ht="12" customHeight="1" thickBot="1">
      <c r="A36" s="117"/>
      <c r="B36" s="118"/>
      <c r="C36" s="118"/>
      <c r="D36" s="118"/>
      <c r="E36" s="118"/>
      <c r="F36" s="119"/>
      <c r="G36" s="120" t="s">
        <v>38</v>
      </c>
      <c r="H36" s="121"/>
      <c r="I36" s="152"/>
      <c r="J36" s="153"/>
      <c r="K36" s="152"/>
      <c r="L36" s="153"/>
      <c r="M36" s="152"/>
      <c r="N36" s="154"/>
      <c r="O36" s="153"/>
      <c r="P36" s="155">
        <f>ROUNDUP(P33/575,1)</f>
        <v>26.900000000000002</v>
      </c>
      <c r="Q36" s="153"/>
      <c r="R36" s="122" t="s">
        <v>39</v>
      </c>
      <c r="S36" s="123"/>
      <c r="T36" s="123"/>
      <c r="U36" s="123"/>
      <c r="V36" s="124"/>
      <c r="W36" s="125"/>
    </row>
    <row r="37" spans="1:23" ht="12" customHeight="1">
      <c r="A37" s="18"/>
      <c r="G37" s="20"/>
      <c r="J37" s="7"/>
      <c r="N37" s="8"/>
      <c r="R37" s="126"/>
      <c r="W37" s="21"/>
    </row>
    <row r="38" spans="1:23" ht="12" customHeight="1" thickBot="1">
      <c r="A38" s="117"/>
      <c r="B38" s="118"/>
      <c r="C38" s="118"/>
      <c r="D38" s="118"/>
      <c r="E38" s="118"/>
      <c r="F38" s="119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9"/>
      <c r="S38" s="118"/>
      <c r="T38" s="118"/>
      <c r="U38" s="118"/>
      <c r="V38" s="118"/>
      <c r="W38" s="127"/>
    </row>
    <row r="39" spans="1:23" ht="12" customHeight="1"/>
    <row r="40" spans="1:23" ht="12" customHeight="1"/>
    <row r="41" spans="1:23" ht="12" customHeight="1"/>
    <row r="42" spans="1:23" ht="34.5" customHeight="1">
      <c r="C42" s="128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20"/>
      <c r="J49" s="7"/>
      <c r="N49" s="8"/>
      <c r="R49" s="126"/>
    </row>
    <row r="50" spans="7:18">
      <c r="G50" s="20"/>
      <c r="J50" s="7"/>
      <c r="N50" s="8"/>
      <c r="R50" s="126"/>
    </row>
    <row r="51" spans="7:18">
      <c r="G51" s="20"/>
      <c r="J51" s="7"/>
      <c r="N51" s="8"/>
      <c r="R51" s="126"/>
    </row>
    <row r="52" spans="7:18">
      <c r="G52" s="20"/>
      <c r="J52" s="7"/>
      <c r="N52" s="8"/>
      <c r="R52" s="126"/>
    </row>
    <row r="53" spans="7:18">
      <c r="G53" s="20"/>
      <c r="J53" s="7"/>
      <c r="N53" s="8"/>
      <c r="R53" s="126"/>
    </row>
    <row r="54" spans="7:18">
      <c r="G54" s="20"/>
      <c r="J54" s="7"/>
      <c r="N54" s="8"/>
      <c r="R54" s="126"/>
    </row>
    <row r="55" spans="7:18">
      <c r="G55" s="20"/>
      <c r="J55" s="7"/>
      <c r="N55" s="8"/>
      <c r="R55" s="126"/>
    </row>
    <row r="56" spans="7:18">
      <c r="G56" s="20"/>
      <c r="J56" s="7"/>
      <c r="N56" s="8"/>
      <c r="R56" s="126"/>
    </row>
    <row r="57" spans="7:18">
      <c r="G57" s="20"/>
      <c r="J57" s="7"/>
      <c r="N57" s="8"/>
      <c r="R57" s="126"/>
    </row>
    <row r="58" spans="7:18">
      <c r="G58" s="20"/>
      <c r="J58" s="7"/>
      <c r="N58" s="8"/>
      <c r="R58" s="126"/>
    </row>
    <row r="59" spans="7:18">
      <c r="G59" s="20"/>
      <c r="J59" s="7"/>
      <c r="N59" s="8"/>
      <c r="R59" s="126"/>
    </row>
    <row r="60" spans="7:18">
      <c r="G60" s="20"/>
      <c r="J60" s="7"/>
      <c r="N60" s="8"/>
      <c r="R60" s="126"/>
    </row>
    <row r="61" spans="7:18">
      <c r="G61" s="20"/>
      <c r="J61" s="7"/>
      <c r="N61" s="8"/>
      <c r="R61" s="126"/>
    </row>
    <row r="62" spans="7:18">
      <c r="G62" s="20"/>
      <c r="J62" s="7"/>
      <c r="N62" s="8"/>
      <c r="R62" s="126"/>
    </row>
    <row r="63" spans="7:18">
      <c r="G63" s="20"/>
      <c r="J63" s="7"/>
      <c r="N63" s="8"/>
      <c r="R63" s="126"/>
    </row>
    <row r="64" spans="7:18">
      <c r="G64" s="20"/>
      <c r="J64" s="7"/>
      <c r="N64" s="8"/>
      <c r="R64" s="126"/>
    </row>
    <row r="65" spans="7:18">
      <c r="G65" s="20"/>
      <c r="J65" s="7"/>
      <c r="N65" s="8"/>
      <c r="R65" s="126"/>
    </row>
    <row r="66" spans="7:18">
      <c r="G66" s="20"/>
      <c r="J66" s="7"/>
      <c r="N66" s="8"/>
      <c r="R66" s="126"/>
    </row>
    <row r="67" spans="7:18">
      <c r="G67" s="20"/>
      <c r="J67" s="7"/>
      <c r="N67" s="8"/>
      <c r="R67" s="126"/>
    </row>
    <row r="68" spans="7:18">
      <c r="G68" s="20"/>
      <c r="J68" s="7"/>
      <c r="N68" s="8"/>
      <c r="R68" s="126"/>
    </row>
    <row r="69" spans="7:18">
      <c r="G69" s="20"/>
      <c r="J69" s="7"/>
      <c r="N69" s="8"/>
      <c r="R69" s="126"/>
    </row>
    <row r="70" spans="7:18">
      <c r="G70" s="20"/>
      <c r="J70" s="7"/>
      <c r="N70" s="8"/>
      <c r="R70" s="126"/>
    </row>
    <row r="71" spans="7:18">
      <c r="G71" s="20"/>
      <c r="J71" s="7"/>
      <c r="N71" s="8"/>
      <c r="R71" s="126"/>
    </row>
    <row r="72" spans="7:18">
      <c r="G72" s="20"/>
      <c r="J72" s="7"/>
      <c r="N72" s="8"/>
      <c r="R72" s="126"/>
    </row>
    <row r="73" spans="7:18">
      <c r="G73" s="20"/>
      <c r="J73" s="7"/>
      <c r="N73" s="8"/>
      <c r="R73" s="126"/>
    </row>
    <row r="74" spans="7:18">
      <c r="G74" s="20"/>
      <c r="J74" s="7"/>
      <c r="N74" s="8"/>
      <c r="R74" s="126"/>
    </row>
    <row r="75" spans="7:18">
      <c r="G75" s="20"/>
      <c r="J75" s="7"/>
      <c r="N75" s="8"/>
      <c r="R75" s="126"/>
    </row>
    <row r="76" spans="7:18">
      <c r="G76" s="20"/>
      <c r="J76" s="7"/>
      <c r="N76" s="8"/>
      <c r="R76" s="126"/>
    </row>
    <row r="77" spans="7:18">
      <c r="G77" s="20"/>
      <c r="J77" s="7"/>
      <c r="N77" s="8"/>
      <c r="R77" s="126"/>
    </row>
    <row r="78" spans="7:18">
      <c r="G78" s="20"/>
      <c r="J78" s="7"/>
      <c r="N78" s="8"/>
      <c r="R78" s="126"/>
    </row>
    <row r="79" spans="7:18">
      <c r="G79" s="20"/>
      <c r="J79" s="7"/>
      <c r="N79" s="8"/>
      <c r="R79" s="126"/>
    </row>
    <row r="80" spans="7:18">
      <c r="G80" s="20"/>
      <c r="J80" s="7"/>
      <c r="N80" s="8"/>
      <c r="R80" s="126"/>
    </row>
    <row r="81" spans="7:18">
      <c r="G81" s="20"/>
      <c r="J81" s="7"/>
      <c r="N81" s="8"/>
      <c r="R81" s="126"/>
    </row>
    <row r="82" spans="7:18">
      <c r="G82" s="20"/>
      <c r="J82" s="7"/>
      <c r="N82" s="8"/>
      <c r="R82" s="126"/>
    </row>
    <row r="83" spans="7:18">
      <c r="G83" s="20"/>
      <c r="J83" s="7"/>
      <c r="N83" s="8"/>
      <c r="R83" s="126"/>
    </row>
    <row r="84" spans="7:18">
      <c r="G84" s="20"/>
      <c r="J84" s="7"/>
      <c r="N84" s="8"/>
      <c r="R84" s="126"/>
    </row>
    <row r="85" spans="7:18">
      <c r="G85" s="20"/>
      <c r="J85" s="7"/>
      <c r="N85" s="8"/>
      <c r="R85" s="126"/>
    </row>
    <row r="86" spans="7:18">
      <c r="G86" s="20"/>
      <c r="J86" s="7"/>
      <c r="N86" s="8"/>
      <c r="R86" s="126"/>
    </row>
    <row r="87" spans="7:18">
      <c r="G87" s="20"/>
      <c r="J87" s="7"/>
      <c r="N87" s="8"/>
      <c r="R87" s="126"/>
    </row>
    <row r="88" spans="7:18">
      <c r="G88" s="20"/>
      <c r="J88" s="7"/>
      <c r="N88" s="8"/>
      <c r="R88" s="126"/>
    </row>
    <row r="89" spans="7:18">
      <c r="G89" s="20"/>
      <c r="J89" s="7"/>
      <c r="N89" s="8"/>
      <c r="R89" s="126"/>
    </row>
    <row r="90" spans="7:18">
      <c r="G90" s="20"/>
      <c r="J90" s="7"/>
      <c r="N90" s="8"/>
      <c r="R90" s="126"/>
    </row>
    <row r="91" spans="7:18">
      <c r="G91" s="20"/>
      <c r="J91" s="7"/>
      <c r="N91" s="8"/>
      <c r="R91" s="126"/>
    </row>
    <row r="92" spans="7:18">
      <c r="G92" s="20"/>
      <c r="J92" s="7"/>
      <c r="N92" s="8"/>
      <c r="R92" s="126"/>
    </row>
    <row r="93" spans="7:18">
      <c r="G93" s="20"/>
      <c r="J93" s="7"/>
      <c r="N93" s="8"/>
      <c r="R93" s="126"/>
    </row>
    <row r="94" spans="7:18">
      <c r="G94" s="20"/>
      <c r="J94" s="7"/>
      <c r="N94" s="8"/>
      <c r="R94" s="126"/>
    </row>
    <row r="95" spans="7:18">
      <c r="G95" s="20"/>
      <c r="J95" s="7"/>
      <c r="N95" s="8"/>
      <c r="R95" s="126"/>
    </row>
    <row r="96" spans="7:18">
      <c r="G96" s="20"/>
      <c r="J96" s="7"/>
      <c r="N96" s="8"/>
      <c r="R96" s="126"/>
    </row>
    <row r="97" spans="7:18">
      <c r="G97" s="20"/>
      <c r="J97" s="7"/>
      <c r="N97" s="8"/>
      <c r="R97" s="126"/>
    </row>
    <row r="98" spans="7:18">
      <c r="G98" s="20"/>
      <c r="J98" s="7"/>
      <c r="N98" s="8"/>
      <c r="R98" s="126"/>
    </row>
    <row r="99" spans="7:18">
      <c r="G99" s="20"/>
      <c r="J99" s="7"/>
      <c r="N99" s="8"/>
      <c r="R99" s="126"/>
    </row>
    <row r="100" spans="7:18">
      <c r="G100" s="20"/>
      <c r="J100" s="7"/>
      <c r="N100" s="8"/>
      <c r="R100" s="126"/>
    </row>
  </sheetData>
  <mergeCells count="33"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G32:H32"/>
    <mergeCell ref="P32:Q32"/>
    <mergeCell ref="L8:L26"/>
    <mergeCell ref="A26:B26"/>
    <mergeCell ref="A28:B28"/>
    <mergeCell ref="I31:J31"/>
    <mergeCell ref="K31:L31"/>
    <mergeCell ref="M31:O31"/>
    <mergeCell ref="P31:Q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B7" workbookViewId="0">
      <selection activeCell="B31" sqref="B31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9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9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4" ht="12" customHeight="1">
      <c r="A1" s="181" t="s">
        <v>69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3"/>
    </row>
    <row r="2" spans="1:24" ht="12" customHeight="1">
      <c r="A2" s="2" t="s">
        <v>0</v>
      </c>
      <c r="B2" s="184" t="s">
        <v>44</v>
      </c>
      <c r="C2" s="159"/>
      <c r="D2" s="159"/>
      <c r="E2" s="3"/>
      <c r="F2" s="4"/>
      <c r="G2" s="5"/>
      <c r="H2" s="6"/>
      <c r="I2" s="6"/>
      <c r="J2" s="7"/>
      <c r="K2" s="6"/>
      <c r="L2" s="6"/>
      <c r="M2" s="6"/>
      <c r="N2" s="8"/>
      <c r="O2" s="6"/>
      <c r="P2" s="9" t="s">
        <v>1</v>
      </c>
      <c r="Q2" s="138" t="s">
        <v>43</v>
      </c>
      <c r="R2" s="4"/>
      <c r="S2" s="3"/>
      <c r="T2" s="3"/>
      <c r="U2" s="3"/>
      <c r="V2" s="10"/>
      <c r="W2" s="11"/>
    </row>
    <row r="3" spans="1:24" ht="12" customHeight="1">
      <c r="A3" s="2" t="s">
        <v>2</v>
      </c>
      <c r="B3" s="184" t="s">
        <v>3</v>
      </c>
      <c r="C3" s="159"/>
      <c r="D3" s="159"/>
      <c r="E3" s="3"/>
      <c r="F3" s="4"/>
      <c r="G3" s="5"/>
      <c r="H3" s="3"/>
      <c r="I3" s="3"/>
      <c r="J3" s="12"/>
      <c r="K3" s="3"/>
      <c r="L3" s="3"/>
      <c r="M3" s="3"/>
      <c r="N3" s="13"/>
      <c r="O3" s="3"/>
      <c r="P3" s="9" t="s">
        <v>4</v>
      </c>
      <c r="Q3" s="3" t="s">
        <v>70</v>
      </c>
      <c r="R3" s="4"/>
      <c r="S3" s="3"/>
      <c r="T3" s="3"/>
      <c r="U3" s="3"/>
      <c r="V3" s="3"/>
      <c r="W3" s="14"/>
    </row>
    <row r="4" spans="1:24" ht="12" customHeight="1">
      <c r="A4" s="15" t="s">
        <v>5</v>
      </c>
      <c r="B4" s="185"/>
      <c r="C4" s="162"/>
      <c r="D4" s="162"/>
      <c r="E4" s="16"/>
      <c r="F4" s="17"/>
      <c r="G4" s="17"/>
      <c r="H4" s="6"/>
      <c r="I4" s="6"/>
      <c r="J4" s="7"/>
      <c r="K4" s="6"/>
      <c r="L4" s="6"/>
      <c r="M4" s="6"/>
      <c r="N4" s="8"/>
      <c r="O4" s="6"/>
      <c r="P4" s="6" t="s">
        <v>6</v>
      </c>
      <c r="Q4" s="185" t="s">
        <v>7</v>
      </c>
      <c r="R4" s="162"/>
      <c r="S4" s="6"/>
      <c r="T4" s="6"/>
      <c r="U4" s="6"/>
      <c r="V4" s="6"/>
      <c r="W4" s="11"/>
    </row>
    <row r="5" spans="1:24" ht="12" customHeight="1">
      <c r="A5" s="18"/>
      <c r="G5" s="20"/>
      <c r="J5" s="7"/>
      <c r="N5" s="8"/>
      <c r="W5" s="21"/>
    </row>
    <row r="6" spans="1:24" ht="34.5" customHeight="1" thickBot="1">
      <c r="A6" s="22" t="s">
        <v>8</v>
      </c>
      <c r="B6" s="23" t="s">
        <v>9</v>
      </c>
      <c r="C6" s="23" t="s">
        <v>10</v>
      </c>
      <c r="D6" s="24" t="s">
        <v>11</v>
      </c>
      <c r="E6" s="24" t="s">
        <v>12</v>
      </c>
      <c r="F6" s="25" t="s">
        <v>13</v>
      </c>
      <c r="G6" s="186" t="s">
        <v>14</v>
      </c>
      <c r="H6" s="187"/>
      <c r="I6" s="188"/>
      <c r="J6" s="189" t="s">
        <v>15</v>
      </c>
      <c r="K6" s="190"/>
      <c r="L6" s="190"/>
      <c r="M6" s="190"/>
      <c r="N6" s="191"/>
      <c r="O6" s="186" t="s">
        <v>14</v>
      </c>
      <c r="P6" s="187"/>
      <c r="Q6" s="188"/>
      <c r="R6" s="25" t="s">
        <v>13</v>
      </c>
      <c r="S6" s="24" t="s">
        <v>12</v>
      </c>
      <c r="T6" s="24" t="s">
        <v>11</v>
      </c>
      <c r="U6" s="23" t="s">
        <v>10</v>
      </c>
      <c r="V6" s="23" t="s">
        <v>9</v>
      </c>
      <c r="W6" s="26" t="s">
        <v>8</v>
      </c>
    </row>
    <row r="7" spans="1:24" ht="12" customHeight="1" thickTop="1">
      <c r="A7" s="27"/>
      <c r="B7" s="28"/>
      <c r="C7" s="29"/>
      <c r="D7" s="29"/>
      <c r="E7" s="29"/>
      <c r="F7" s="30"/>
      <c r="G7" s="31" t="s">
        <v>16</v>
      </c>
      <c r="H7" s="32" t="s">
        <v>17</v>
      </c>
      <c r="I7" s="32" t="s">
        <v>18</v>
      </c>
      <c r="J7" s="33"/>
      <c r="K7" s="34"/>
      <c r="L7" s="35"/>
      <c r="M7" s="35"/>
      <c r="N7" s="36"/>
      <c r="O7" s="37" t="s">
        <v>16</v>
      </c>
      <c r="P7" s="32" t="s">
        <v>17</v>
      </c>
      <c r="Q7" s="38" t="s">
        <v>18</v>
      </c>
      <c r="R7" s="39"/>
      <c r="S7" s="40"/>
      <c r="T7" s="40"/>
      <c r="U7" s="40"/>
      <c r="V7" s="28"/>
      <c r="W7" s="41"/>
    </row>
    <row r="8" spans="1:24" ht="12" customHeight="1">
      <c r="A8" s="129" t="s">
        <v>71</v>
      </c>
      <c r="B8" s="130" t="s">
        <v>21</v>
      </c>
      <c r="C8" s="131">
        <v>15</v>
      </c>
      <c r="D8" s="53">
        <v>100</v>
      </c>
      <c r="E8" s="44">
        <f t="shared" ref="E8:E9" si="0">C8*D8</f>
        <v>1500</v>
      </c>
      <c r="F8" s="45">
        <v>0.45</v>
      </c>
      <c r="G8" s="46">
        <f>E8*F8</f>
        <v>675</v>
      </c>
      <c r="H8" s="43"/>
      <c r="I8" s="47"/>
      <c r="J8" s="48">
        <v>1</v>
      </c>
      <c r="K8" s="49">
        <v>10</v>
      </c>
      <c r="L8" s="172"/>
      <c r="M8" s="49">
        <v>20</v>
      </c>
      <c r="N8" s="50">
        <v>10</v>
      </c>
      <c r="O8" s="51">
        <f>S8*R8</f>
        <v>680</v>
      </c>
      <c r="P8" s="51"/>
      <c r="R8" s="133">
        <v>0.8</v>
      </c>
      <c r="S8" s="134">
        <f t="shared" ref="S8" si="1">T8*U8</f>
        <v>850</v>
      </c>
      <c r="T8" s="135">
        <v>850</v>
      </c>
      <c r="U8" s="134">
        <v>1</v>
      </c>
      <c r="V8" s="136" t="s">
        <v>19</v>
      </c>
      <c r="W8" s="137" t="s">
        <v>104</v>
      </c>
    </row>
    <row r="9" spans="1:24" ht="12" customHeight="1">
      <c r="A9" s="147" t="s">
        <v>84</v>
      </c>
      <c r="B9" s="136" t="s">
        <v>19</v>
      </c>
      <c r="C9" s="148">
        <v>1</v>
      </c>
      <c r="D9" s="135">
        <v>1500</v>
      </c>
      <c r="E9" s="149">
        <f t="shared" si="0"/>
        <v>1500</v>
      </c>
      <c r="F9" s="133">
        <v>0.8</v>
      </c>
      <c r="G9" s="55"/>
      <c r="H9" s="55">
        <f>E9*F9</f>
        <v>1200</v>
      </c>
      <c r="J9" s="48">
        <v>2</v>
      </c>
      <c r="K9" s="49">
        <v>20</v>
      </c>
      <c r="L9" s="173"/>
      <c r="M9" s="49">
        <v>10</v>
      </c>
      <c r="N9" s="50">
        <v>11</v>
      </c>
      <c r="P9" s="55">
        <f>S9*R9</f>
        <v>495</v>
      </c>
      <c r="Q9" s="55"/>
      <c r="R9" s="45">
        <v>0.45</v>
      </c>
      <c r="S9" s="52">
        <f t="shared" ref="S9:S11" si="2">T9*U9</f>
        <v>1100</v>
      </c>
      <c r="T9" s="53">
        <v>100</v>
      </c>
      <c r="U9" s="43">
        <v>11</v>
      </c>
      <c r="V9" s="140" t="s">
        <v>21</v>
      </c>
      <c r="W9" s="144" t="s">
        <v>74</v>
      </c>
    </row>
    <row r="10" spans="1:24" ht="12" customHeight="1">
      <c r="A10" s="147" t="s">
        <v>73</v>
      </c>
      <c r="B10" s="192" t="s">
        <v>21</v>
      </c>
      <c r="C10" s="131">
        <v>1</v>
      </c>
      <c r="D10" s="53">
        <v>1000</v>
      </c>
      <c r="E10" s="44">
        <f t="shared" ref="E10:E12" si="3">C10*D10</f>
        <v>1000</v>
      </c>
      <c r="F10" s="45">
        <v>0.45</v>
      </c>
      <c r="G10" s="55"/>
      <c r="I10" s="55">
        <f>E10*F10</f>
        <v>450</v>
      </c>
      <c r="J10" s="48">
        <v>3</v>
      </c>
      <c r="K10" s="49">
        <v>10</v>
      </c>
      <c r="L10" s="173"/>
      <c r="M10" s="49">
        <v>10</v>
      </c>
      <c r="N10" s="50">
        <v>12</v>
      </c>
      <c r="O10" s="57"/>
      <c r="Q10" s="55">
        <f>S10*R10</f>
        <v>450</v>
      </c>
      <c r="R10" s="45">
        <v>0.45</v>
      </c>
      <c r="S10" s="52">
        <f t="shared" si="2"/>
        <v>1000</v>
      </c>
      <c r="T10" s="53">
        <v>100</v>
      </c>
      <c r="U10" s="43">
        <v>10</v>
      </c>
      <c r="V10" s="140" t="s">
        <v>21</v>
      </c>
      <c r="W10" s="144" t="s">
        <v>75</v>
      </c>
    </row>
    <row r="11" spans="1:24" ht="12" customHeight="1">
      <c r="A11" s="147" t="s">
        <v>85</v>
      </c>
      <c r="B11" s="136" t="s">
        <v>19</v>
      </c>
      <c r="C11" s="148">
        <v>1</v>
      </c>
      <c r="D11" s="135">
        <v>1500</v>
      </c>
      <c r="E11" s="149">
        <f t="shared" si="3"/>
        <v>1500</v>
      </c>
      <c r="F11" s="133">
        <v>0.8</v>
      </c>
      <c r="G11" s="55">
        <f>E11*F11</f>
        <v>1200</v>
      </c>
      <c r="H11" s="57"/>
      <c r="J11" s="48">
        <v>4</v>
      </c>
      <c r="K11" s="49">
        <v>20</v>
      </c>
      <c r="L11" s="173"/>
      <c r="M11" s="49">
        <v>10</v>
      </c>
      <c r="N11" s="50">
        <v>13</v>
      </c>
      <c r="O11" s="51">
        <f>S11*R11</f>
        <v>360</v>
      </c>
      <c r="P11" s="51"/>
      <c r="R11" s="45">
        <v>0.45</v>
      </c>
      <c r="S11" s="52">
        <f t="shared" si="2"/>
        <v>800</v>
      </c>
      <c r="T11" s="53">
        <v>100</v>
      </c>
      <c r="U11" s="43">
        <v>8</v>
      </c>
      <c r="V11" s="139" t="s">
        <v>21</v>
      </c>
      <c r="W11" s="143" t="s">
        <v>72</v>
      </c>
    </row>
    <row r="12" spans="1:24" ht="12" customHeight="1">
      <c r="A12" s="194" t="s">
        <v>82</v>
      </c>
      <c r="B12" s="193" t="s">
        <v>19</v>
      </c>
      <c r="C12" s="43">
        <v>1</v>
      </c>
      <c r="D12" s="63">
        <v>850</v>
      </c>
      <c r="E12" s="44">
        <f t="shared" si="3"/>
        <v>850</v>
      </c>
      <c r="F12" s="45">
        <v>0.8</v>
      </c>
      <c r="G12" s="58"/>
      <c r="H12" s="55">
        <f>E12*F12</f>
        <v>680</v>
      </c>
      <c r="I12" s="59"/>
      <c r="J12" s="48">
        <v>5</v>
      </c>
      <c r="K12" s="49">
        <v>20</v>
      </c>
      <c r="L12" s="173"/>
      <c r="M12" s="49">
        <v>20</v>
      </c>
      <c r="N12" s="50">
        <v>14</v>
      </c>
      <c r="O12" s="51"/>
      <c r="P12" s="51">
        <f>R12*S12</f>
        <v>680</v>
      </c>
      <c r="Q12" s="59"/>
      <c r="R12" s="133">
        <v>0.8</v>
      </c>
      <c r="S12" s="134">
        <f t="shared" ref="S12:S17" si="4">T12*U12</f>
        <v>850</v>
      </c>
      <c r="T12" s="135">
        <v>850</v>
      </c>
      <c r="U12" s="134">
        <v>1</v>
      </c>
      <c r="V12" s="141" t="s">
        <v>19</v>
      </c>
      <c r="W12" s="144" t="s">
        <v>80</v>
      </c>
    </row>
    <row r="13" spans="1:24" ht="12" customHeight="1">
      <c r="A13" s="62" t="s">
        <v>77</v>
      </c>
      <c r="B13" s="42" t="s">
        <v>23</v>
      </c>
      <c r="C13" s="43">
        <v>4</v>
      </c>
      <c r="D13" s="63">
        <v>250</v>
      </c>
      <c r="E13" s="44">
        <f t="shared" ref="E13:E14" si="5">C13*D13</f>
        <v>1000</v>
      </c>
      <c r="F13" s="45">
        <v>0.45</v>
      </c>
      <c r="I13" s="55">
        <f>E13*F13</f>
        <v>450</v>
      </c>
      <c r="J13" s="48">
        <v>6</v>
      </c>
      <c r="K13" s="49">
        <v>30</v>
      </c>
      <c r="L13" s="173"/>
      <c r="M13" s="60">
        <v>30</v>
      </c>
      <c r="N13" s="50">
        <v>15</v>
      </c>
      <c r="P13" s="61"/>
      <c r="Q13" s="55">
        <f>S13*R13</f>
        <v>337.5</v>
      </c>
      <c r="R13" s="133">
        <v>0.45</v>
      </c>
      <c r="S13" s="134">
        <f t="shared" si="4"/>
        <v>750</v>
      </c>
      <c r="T13" s="135">
        <v>250</v>
      </c>
      <c r="U13" s="134">
        <v>3</v>
      </c>
      <c r="V13" s="42" t="s">
        <v>23</v>
      </c>
      <c r="W13" s="196" t="s">
        <v>79</v>
      </c>
      <c r="X13" s="142"/>
    </row>
    <row r="14" spans="1:24" ht="12" customHeight="1">
      <c r="A14" s="62" t="s">
        <v>76</v>
      </c>
      <c r="B14" s="42" t="s">
        <v>23</v>
      </c>
      <c r="C14" s="43">
        <v>6</v>
      </c>
      <c r="D14" s="63">
        <v>250</v>
      </c>
      <c r="E14" s="44">
        <f t="shared" si="5"/>
        <v>1500</v>
      </c>
      <c r="F14" s="45">
        <v>0.45</v>
      </c>
      <c r="G14" s="55">
        <f>E14*F14</f>
        <v>675</v>
      </c>
      <c r="H14" s="51"/>
      <c r="I14" s="51"/>
      <c r="J14" s="48">
        <v>7</v>
      </c>
      <c r="K14" s="49">
        <v>30</v>
      </c>
      <c r="L14" s="173"/>
      <c r="M14" s="60">
        <v>20</v>
      </c>
      <c r="N14" s="50">
        <v>16</v>
      </c>
      <c r="O14" s="51">
        <f>S14*R14</f>
        <v>0</v>
      </c>
      <c r="P14" s="59"/>
      <c r="Q14" s="51"/>
      <c r="R14" s="133">
        <v>0.8</v>
      </c>
      <c r="S14" s="134">
        <f t="shared" si="4"/>
        <v>0</v>
      </c>
      <c r="T14" s="135">
        <v>850</v>
      </c>
      <c r="U14" s="134">
        <v>0</v>
      </c>
      <c r="V14" s="136" t="s">
        <v>19</v>
      </c>
      <c r="W14" s="145" t="s">
        <v>22</v>
      </c>
    </row>
    <row r="15" spans="1:24" ht="12" customHeight="1">
      <c r="A15" s="194" t="s">
        <v>22</v>
      </c>
      <c r="B15" s="193" t="s">
        <v>19</v>
      </c>
      <c r="C15" s="43">
        <v>0</v>
      </c>
      <c r="D15" s="63">
        <v>850</v>
      </c>
      <c r="E15" s="44">
        <f t="shared" ref="E15:E25" si="6">C15*D15</f>
        <v>0</v>
      </c>
      <c r="F15" s="45">
        <v>0.8</v>
      </c>
      <c r="G15" s="55"/>
      <c r="H15" s="51">
        <f>E15*F15</f>
        <v>0</v>
      </c>
      <c r="J15" s="48">
        <v>8</v>
      </c>
      <c r="K15" s="64">
        <v>20</v>
      </c>
      <c r="L15" s="173"/>
      <c r="M15" s="60">
        <v>20</v>
      </c>
      <c r="N15" s="50">
        <v>17</v>
      </c>
      <c r="P15" s="51">
        <f>S15*R15</f>
        <v>680</v>
      </c>
      <c r="Q15" s="51"/>
      <c r="R15" s="133">
        <v>0.8</v>
      </c>
      <c r="S15" s="134">
        <f t="shared" si="4"/>
        <v>850</v>
      </c>
      <c r="T15" s="135">
        <v>850</v>
      </c>
      <c r="U15" s="134">
        <v>1</v>
      </c>
      <c r="V15" s="136" t="s">
        <v>19</v>
      </c>
      <c r="W15" s="137" t="s">
        <v>83</v>
      </c>
    </row>
    <row r="16" spans="1:24" ht="12" customHeight="1">
      <c r="A16" s="62" t="s">
        <v>78</v>
      </c>
      <c r="B16" s="42" t="s">
        <v>23</v>
      </c>
      <c r="C16" s="43">
        <v>5</v>
      </c>
      <c r="D16" s="63">
        <v>250</v>
      </c>
      <c r="E16" s="44">
        <f t="shared" si="6"/>
        <v>1250</v>
      </c>
      <c r="F16" s="45">
        <v>0.45</v>
      </c>
      <c r="G16" s="55"/>
      <c r="I16" s="51">
        <f>E16*F16</f>
        <v>562.5</v>
      </c>
      <c r="J16" s="48">
        <v>9</v>
      </c>
      <c r="K16" s="64">
        <v>30</v>
      </c>
      <c r="L16" s="173"/>
      <c r="M16" s="60">
        <v>20</v>
      </c>
      <c r="N16" s="50">
        <v>18</v>
      </c>
      <c r="O16" s="51"/>
      <c r="P16" s="51"/>
      <c r="Q16" s="51">
        <f>R16*S16</f>
        <v>1360</v>
      </c>
      <c r="R16" s="133">
        <v>0.8</v>
      </c>
      <c r="S16" s="134">
        <f t="shared" si="4"/>
        <v>1700</v>
      </c>
      <c r="T16" s="135">
        <v>1700</v>
      </c>
      <c r="U16" s="134">
        <v>1</v>
      </c>
      <c r="V16" s="141" t="s">
        <v>19</v>
      </c>
      <c r="W16" s="144" t="s">
        <v>81</v>
      </c>
    </row>
    <row r="17" spans="1:23" ht="12" customHeight="1">
      <c r="A17" s="147" t="s">
        <v>22</v>
      </c>
      <c r="B17" s="136" t="s">
        <v>19</v>
      </c>
      <c r="C17" s="148">
        <v>0</v>
      </c>
      <c r="D17" s="135">
        <v>1500</v>
      </c>
      <c r="E17" s="149">
        <f t="shared" si="6"/>
        <v>0</v>
      </c>
      <c r="F17" s="133">
        <v>0.8</v>
      </c>
      <c r="G17" s="51">
        <f>F17*E17</f>
        <v>0</v>
      </c>
      <c r="H17" s="68"/>
      <c r="I17" s="51"/>
      <c r="J17" s="48"/>
      <c r="K17" s="64">
        <v>30</v>
      </c>
      <c r="L17" s="173"/>
      <c r="M17" s="60">
        <v>30</v>
      </c>
      <c r="N17" s="50"/>
      <c r="O17" s="51">
        <f>S17*R17</f>
        <v>0</v>
      </c>
      <c r="Q17" s="51"/>
      <c r="R17" s="133">
        <v>0.4</v>
      </c>
      <c r="S17" s="134">
        <f t="shared" si="4"/>
        <v>0</v>
      </c>
      <c r="T17" s="135">
        <v>3000</v>
      </c>
      <c r="U17" s="134">
        <v>0</v>
      </c>
      <c r="V17" s="141" t="s">
        <v>20</v>
      </c>
      <c r="W17" s="146" t="s">
        <v>22</v>
      </c>
    </row>
    <row r="18" spans="1:23" ht="12" customHeight="1">
      <c r="A18" s="147" t="s">
        <v>22</v>
      </c>
      <c r="B18" s="136" t="s">
        <v>19</v>
      </c>
      <c r="C18" s="148">
        <v>0</v>
      </c>
      <c r="D18" s="135">
        <v>1500</v>
      </c>
      <c r="E18" s="149">
        <f t="shared" ref="E18:E19" si="7">C18*D18</f>
        <v>0</v>
      </c>
      <c r="F18" s="133">
        <v>0.8</v>
      </c>
      <c r="G18" s="55"/>
      <c r="H18" s="51">
        <f>E18*F18</f>
        <v>0</v>
      </c>
      <c r="J18" s="48"/>
      <c r="K18" s="64">
        <v>20</v>
      </c>
      <c r="L18" s="173"/>
      <c r="M18" s="60">
        <v>30</v>
      </c>
      <c r="N18" s="50"/>
      <c r="P18" s="51">
        <f>R18*S18</f>
        <v>0</v>
      </c>
      <c r="Q18" s="51"/>
      <c r="R18" s="133">
        <v>0.8</v>
      </c>
      <c r="S18" s="134">
        <f t="shared" ref="S18" si="8">T18*U18</f>
        <v>0</v>
      </c>
      <c r="T18" s="135">
        <v>850</v>
      </c>
      <c r="U18" s="134">
        <v>0</v>
      </c>
      <c r="V18" s="205" t="s">
        <v>19</v>
      </c>
      <c r="W18" s="144" t="s">
        <v>22</v>
      </c>
    </row>
    <row r="19" spans="1:23" ht="12" customHeight="1">
      <c r="A19" s="62" t="s">
        <v>22</v>
      </c>
      <c r="B19" s="42" t="s">
        <v>23</v>
      </c>
      <c r="C19" s="43">
        <v>0</v>
      </c>
      <c r="D19" s="63">
        <v>250</v>
      </c>
      <c r="E19" s="44">
        <f t="shared" si="7"/>
        <v>0</v>
      </c>
      <c r="F19" s="45">
        <v>0.45</v>
      </c>
      <c r="G19" s="55"/>
      <c r="I19" s="51">
        <f>E19*F19</f>
        <v>0</v>
      </c>
      <c r="J19" s="48"/>
      <c r="K19" s="64">
        <v>20</v>
      </c>
      <c r="L19" s="173"/>
      <c r="M19" s="64">
        <v>10</v>
      </c>
      <c r="N19" s="50"/>
      <c r="O19" s="51"/>
      <c r="P19" s="51"/>
      <c r="Q19" s="51">
        <f>R19*S19</f>
        <v>0</v>
      </c>
      <c r="R19" s="45">
        <v>0.45</v>
      </c>
      <c r="S19" s="52">
        <f t="shared" ref="S19" si="9">T19*U19</f>
        <v>0</v>
      </c>
      <c r="T19" s="53">
        <v>100</v>
      </c>
      <c r="U19" s="43">
        <v>0</v>
      </c>
      <c r="V19" s="204" t="s">
        <v>21</v>
      </c>
      <c r="W19" s="203" t="s">
        <v>22</v>
      </c>
    </row>
    <row r="20" spans="1:23" ht="12" customHeight="1">
      <c r="A20" s="54" t="s">
        <v>22</v>
      </c>
      <c r="B20" s="42" t="s">
        <v>19</v>
      </c>
      <c r="C20" s="43">
        <v>0</v>
      </c>
      <c r="D20" s="63">
        <v>1500</v>
      </c>
      <c r="E20" s="44">
        <f t="shared" si="6"/>
        <v>0</v>
      </c>
      <c r="F20" s="45">
        <v>0.8</v>
      </c>
      <c r="G20" s="51">
        <f>E20*F20</f>
        <v>0</v>
      </c>
      <c r="H20" s="51"/>
      <c r="I20" s="51"/>
      <c r="J20" s="48"/>
      <c r="K20" s="64">
        <v>20</v>
      </c>
      <c r="L20" s="173"/>
      <c r="M20" s="64">
        <v>30</v>
      </c>
      <c r="N20" s="48"/>
      <c r="O20" s="51">
        <f>R20*S20</f>
        <v>0</v>
      </c>
      <c r="Q20" s="51"/>
      <c r="R20" s="55">
        <v>0.6</v>
      </c>
      <c r="S20" s="52">
        <f t="shared" ref="S20:S25" si="10">T20*U20</f>
        <v>0</v>
      </c>
      <c r="T20" s="63">
        <v>3000</v>
      </c>
      <c r="U20" s="52">
        <v>0</v>
      </c>
      <c r="V20" s="51" t="s">
        <v>20</v>
      </c>
      <c r="W20" s="67" t="s">
        <v>22</v>
      </c>
    </row>
    <row r="21" spans="1:23" ht="12" customHeight="1">
      <c r="A21" s="132" t="s">
        <v>22</v>
      </c>
      <c r="B21" s="42" t="s">
        <v>23</v>
      </c>
      <c r="C21" s="43">
        <v>0</v>
      </c>
      <c r="D21" s="63">
        <v>250</v>
      </c>
      <c r="E21" s="44">
        <f t="shared" si="6"/>
        <v>0</v>
      </c>
      <c r="F21" s="45">
        <v>0.45</v>
      </c>
      <c r="G21" s="55"/>
      <c r="H21" s="51">
        <f>E21*F21</f>
        <v>0</v>
      </c>
      <c r="J21" s="48"/>
      <c r="K21" s="64">
        <v>20</v>
      </c>
      <c r="L21" s="173"/>
      <c r="M21" s="64">
        <v>20</v>
      </c>
      <c r="N21" s="50"/>
      <c r="P21" s="51">
        <f>R21*S21</f>
        <v>0</v>
      </c>
      <c r="Q21" s="51"/>
      <c r="R21" s="55">
        <v>1</v>
      </c>
      <c r="S21" s="52">
        <f t="shared" si="10"/>
        <v>0</v>
      </c>
      <c r="T21" s="63">
        <v>400</v>
      </c>
      <c r="U21" s="52">
        <v>0</v>
      </c>
      <c r="V21" s="51" t="s">
        <v>24</v>
      </c>
      <c r="W21" s="67" t="s">
        <v>22</v>
      </c>
    </row>
    <row r="22" spans="1:23" ht="12" customHeight="1">
      <c r="A22" s="54" t="s">
        <v>22</v>
      </c>
      <c r="B22" s="42" t="s">
        <v>19</v>
      </c>
      <c r="C22" s="43">
        <v>0</v>
      </c>
      <c r="D22" s="53">
        <v>1119</v>
      </c>
      <c r="E22" s="44">
        <f t="shared" si="6"/>
        <v>0</v>
      </c>
      <c r="F22" s="45">
        <v>0.8</v>
      </c>
      <c r="G22" s="55"/>
      <c r="I22" s="51">
        <f>E22*F22</f>
        <v>0</v>
      </c>
      <c r="J22" s="48"/>
      <c r="K22" s="64">
        <v>15</v>
      </c>
      <c r="L22" s="173"/>
      <c r="M22" s="64">
        <v>20</v>
      </c>
      <c r="N22" s="50"/>
      <c r="O22" s="51"/>
      <c r="P22" s="51"/>
      <c r="Q22" s="51">
        <f>R22*S22</f>
        <v>0</v>
      </c>
      <c r="R22" s="133">
        <v>0.8</v>
      </c>
      <c r="S22" s="134">
        <f t="shared" si="10"/>
        <v>0</v>
      </c>
      <c r="T22" s="135">
        <v>1700</v>
      </c>
      <c r="U22" s="134">
        <v>0</v>
      </c>
      <c r="V22" s="141" t="s">
        <v>19</v>
      </c>
      <c r="W22" s="144" t="s">
        <v>22</v>
      </c>
    </row>
    <row r="23" spans="1:23" ht="12" customHeight="1">
      <c r="A23" s="54" t="s">
        <v>22</v>
      </c>
      <c r="B23" s="42" t="s">
        <v>19</v>
      </c>
      <c r="C23" s="43">
        <v>0</v>
      </c>
      <c r="D23" s="63">
        <v>1200</v>
      </c>
      <c r="E23" s="44">
        <f t="shared" si="6"/>
        <v>0</v>
      </c>
      <c r="F23" s="45">
        <v>1</v>
      </c>
      <c r="G23" s="51">
        <f>E23*F23</f>
        <v>0</v>
      </c>
      <c r="H23" s="51"/>
      <c r="I23" s="51"/>
      <c r="J23" s="48"/>
      <c r="K23" s="64">
        <v>20</v>
      </c>
      <c r="L23" s="173"/>
      <c r="M23" s="64">
        <v>20</v>
      </c>
      <c r="N23" s="50"/>
      <c r="O23" s="51">
        <f>R23*S23</f>
        <v>0</v>
      </c>
      <c r="Q23" s="51"/>
      <c r="R23" s="55">
        <v>1</v>
      </c>
      <c r="S23" s="52">
        <f t="shared" si="10"/>
        <v>0</v>
      </c>
      <c r="T23" s="63">
        <v>400</v>
      </c>
      <c r="U23" s="52">
        <v>0</v>
      </c>
      <c r="V23" s="66" t="s">
        <v>24</v>
      </c>
      <c r="W23" s="67" t="s">
        <v>22</v>
      </c>
    </row>
    <row r="24" spans="1:23" ht="12" customHeight="1">
      <c r="A24" s="54" t="s">
        <v>22</v>
      </c>
      <c r="B24" s="42" t="s">
        <v>19</v>
      </c>
      <c r="C24" s="43">
        <v>0</v>
      </c>
      <c r="D24" s="63">
        <v>1200</v>
      </c>
      <c r="E24" s="44">
        <f t="shared" si="6"/>
        <v>0</v>
      </c>
      <c r="F24" s="45">
        <v>1</v>
      </c>
      <c r="G24" s="55"/>
      <c r="H24" s="51">
        <f>E24*F24</f>
        <v>0</v>
      </c>
      <c r="J24" s="48"/>
      <c r="K24" s="64">
        <v>20</v>
      </c>
      <c r="L24" s="173"/>
      <c r="M24" s="64">
        <v>20</v>
      </c>
      <c r="N24" s="50"/>
      <c r="P24" s="51">
        <f>R24*S24</f>
        <v>0</v>
      </c>
      <c r="Q24" s="51"/>
      <c r="R24" s="55">
        <v>1</v>
      </c>
      <c r="S24" s="52">
        <f t="shared" si="10"/>
        <v>0</v>
      </c>
      <c r="T24" s="63">
        <v>400</v>
      </c>
      <c r="U24" s="52">
        <v>0</v>
      </c>
      <c r="V24" s="66" t="s">
        <v>24</v>
      </c>
      <c r="W24" s="67" t="s">
        <v>22</v>
      </c>
    </row>
    <row r="25" spans="1:23" ht="12" customHeight="1">
      <c r="A25" s="65" t="s">
        <v>22</v>
      </c>
      <c r="B25" s="42" t="s">
        <v>19</v>
      </c>
      <c r="C25" s="43">
        <v>0</v>
      </c>
      <c r="D25" s="63">
        <v>1200</v>
      </c>
      <c r="E25" s="44">
        <f t="shared" si="6"/>
        <v>0</v>
      </c>
      <c r="F25" s="45">
        <v>1</v>
      </c>
      <c r="G25" s="55"/>
      <c r="I25" s="51">
        <f>E25*F25</f>
        <v>0</v>
      </c>
      <c r="J25" s="48"/>
      <c r="K25" s="64">
        <v>20</v>
      </c>
      <c r="L25" s="173"/>
      <c r="M25" s="64">
        <v>20</v>
      </c>
      <c r="N25" s="50"/>
      <c r="O25" s="51"/>
      <c r="P25" s="51"/>
      <c r="Q25" s="51">
        <f>R25*S25</f>
        <v>0</v>
      </c>
      <c r="R25" s="55">
        <v>1</v>
      </c>
      <c r="S25" s="52">
        <f t="shared" si="10"/>
        <v>0</v>
      </c>
      <c r="T25" s="63">
        <v>400</v>
      </c>
      <c r="U25" s="52">
        <v>0</v>
      </c>
      <c r="V25" s="66" t="s">
        <v>24</v>
      </c>
      <c r="W25" s="67" t="s">
        <v>22</v>
      </c>
    </row>
    <row r="26" spans="1:23" ht="12" customHeight="1">
      <c r="A26" s="175" t="s">
        <v>25</v>
      </c>
      <c r="B26" s="157"/>
      <c r="C26" s="69"/>
      <c r="D26" s="69"/>
      <c r="E26" s="70">
        <f>SUM(E8:E25)</f>
        <v>10100</v>
      </c>
      <c r="F26" s="71"/>
      <c r="G26" s="72">
        <f t="shared" ref="G26:I26" si="11">SUM(G8:G25)</f>
        <v>2550</v>
      </c>
      <c r="H26" s="51">
        <f t="shared" si="11"/>
        <v>1880</v>
      </c>
      <c r="I26" s="51">
        <f t="shared" si="11"/>
        <v>1462.5</v>
      </c>
      <c r="J26" s="69"/>
      <c r="K26" s="73"/>
      <c r="L26" s="174"/>
      <c r="M26" s="73"/>
      <c r="N26" s="74"/>
      <c r="O26" s="55">
        <f>SUM(O8:O25)</f>
        <v>1040</v>
      </c>
      <c r="P26" s="72">
        <f t="shared" ref="P26:Q26" si="12">SUM(P8:P25)</f>
        <v>1855</v>
      </c>
      <c r="Q26" s="55">
        <f t="shared" si="12"/>
        <v>2147.5</v>
      </c>
      <c r="R26" s="55"/>
      <c r="S26" s="75">
        <f>SUM(S8:S25)</f>
        <v>7900</v>
      </c>
      <c r="T26" s="75"/>
      <c r="U26" s="72"/>
      <c r="V26" s="73"/>
      <c r="W26" s="76"/>
    </row>
    <row r="27" spans="1:23" ht="12" customHeight="1">
      <c r="A27" s="77" t="s">
        <v>26</v>
      </c>
      <c r="B27" s="69"/>
      <c r="C27" s="69"/>
      <c r="D27" s="69"/>
      <c r="E27" s="69"/>
      <c r="F27" s="71"/>
      <c r="G27" s="78"/>
      <c r="H27" s="79"/>
      <c r="I27" s="79"/>
      <c r="J27" s="69"/>
      <c r="K27" s="80"/>
      <c r="L27" s="80"/>
      <c r="M27" s="80" t="s">
        <v>103</v>
      </c>
      <c r="N27" s="74"/>
      <c r="O27" s="80"/>
      <c r="P27" s="80"/>
      <c r="Q27" s="80"/>
      <c r="R27" s="78"/>
      <c r="S27" s="80"/>
      <c r="T27" s="80"/>
      <c r="U27" s="79"/>
      <c r="V27" s="80"/>
      <c r="W27" s="76"/>
    </row>
    <row r="28" spans="1:23" ht="12" customHeight="1" thickBot="1">
      <c r="A28" s="176"/>
      <c r="B28" s="177"/>
      <c r="C28" s="81"/>
      <c r="D28" s="81"/>
      <c r="E28" s="81"/>
      <c r="F28" s="82"/>
      <c r="G28" s="83"/>
      <c r="H28" s="84"/>
      <c r="I28" s="85"/>
      <c r="J28" s="81"/>
      <c r="K28" s="86"/>
      <c r="L28" s="86"/>
      <c r="M28" s="86"/>
      <c r="N28" s="87"/>
      <c r="O28" s="86"/>
      <c r="P28" s="86"/>
      <c r="Q28" s="86"/>
      <c r="R28" s="88"/>
      <c r="S28" s="86"/>
      <c r="T28" s="86"/>
      <c r="U28" s="84"/>
      <c r="V28" s="86"/>
      <c r="W28" s="89"/>
    </row>
    <row r="29" spans="1:23" ht="12" customHeight="1" thickTop="1">
      <c r="A29" s="90"/>
      <c r="B29" s="7"/>
      <c r="C29" s="7"/>
      <c r="D29" s="7"/>
      <c r="E29" s="7"/>
      <c r="F29" s="91"/>
      <c r="G29" s="20"/>
      <c r="J29" s="7"/>
      <c r="N29" s="8"/>
      <c r="O29" s="92"/>
      <c r="P29" s="92"/>
      <c r="Q29" s="92"/>
      <c r="V29" s="178"/>
      <c r="W29" s="179"/>
    </row>
    <row r="30" spans="1:23" ht="12" customHeight="1">
      <c r="A30" s="151" t="s">
        <v>27</v>
      </c>
      <c r="B30" s="93"/>
      <c r="C30" s="93"/>
      <c r="D30" s="93"/>
      <c r="E30" s="93"/>
      <c r="F30" s="94"/>
      <c r="G30" s="95"/>
      <c r="H30" s="93"/>
      <c r="I30" s="180" t="s">
        <v>16</v>
      </c>
      <c r="J30" s="164"/>
      <c r="K30" s="180" t="s">
        <v>17</v>
      </c>
      <c r="L30" s="164"/>
      <c r="M30" s="180" t="s">
        <v>18</v>
      </c>
      <c r="N30" s="162"/>
      <c r="O30" s="164"/>
      <c r="P30" s="66"/>
      <c r="Q30" s="42"/>
      <c r="R30" s="96"/>
      <c r="S30" s="97" t="s">
        <v>28</v>
      </c>
      <c r="T30" s="97"/>
      <c r="U30" s="97"/>
      <c r="V30" s="42"/>
      <c r="W30" s="98"/>
    </row>
    <row r="31" spans="1:23" ht="12" customHeight="1">
      <c r="A31" s="150" t="s">
        <v>67</v>
      </c>
      <c r="G31" s="99" t="s">
        <v>29</v>
      </c>
      <c r="H31" s="100"/>
      <c r="I31" s="165">
        <f>G26+O26</f>
        <v>3590</v>
      </c>
      <c r="J31" s="166"/>
      <c r="K31" s="165">
        <f>H26+P26</f>
        <v>3735</v>
      </c>
      <c r="L31" s="166"/>
      <c r="M31" s="165">
        <f>I26+Q26</f>
        <v>3610</v>
      </c>
      <c r="N31" s="167"/>
      <c r="O31" s="166"/>
      <c r="P31" s="158"/>
      <c r="Q31" s="157"/>
      <c r="R31" s="96"/>
      <c r="S31" s="168" t="s">
        <v>68</v>
      </c>
      <c r="T31" s="169"/>
      <c r="U31" s="169"/>
      <c r="V31" s="169"/>
      <c r="W31" s="170"/>
    </row>
    <row r="32" spans="1:23" ht="12" customHeight="1">
      <c r="A32" s="15"/>
      <c r="G32" s="171" t="s">
        <v>30</v>
      </c>
      <c r="H32" s="157"/>
      <c r="I32" s="102"/>
      <c r="J32" s="103"/>
      <c r="K32" s="104"/>
      <c r="L32" s="103"/>
      <c r="M32" s="104"/>
      <c r="N32" s="105"/>
      <c r="O32" s="103"/>
      <c r="P32" s="160">
        <v>500</v>
      </c>
      <c r="Q32" s="157"/>
      <c r="R32" s="96"/>
      <c r="S32" s="107"/>
      <c r="T32" s="107"/>
      <c r="U32" s="107"/>
      <c r="V32" s="108"/>
      <c r="W32" s="76"/>
    </row>
    <row r="33" spans="1:23" ht="12" customHeight="1">
      <c r="A33" s="109" t="s">
        <v>31</v>
      </c>
      <c r="G33" s="99" t="s">
        <v>32</v>
      </c>
      <c r="H33" s="100"/>
      <c r="I33" s="110"/>
      <c r="J33" s="42"/>
      <c r="K33" s="66"/>
      <c r="L33" s="42"/>
      <c r="M33" s="66"/>
      <c r="N33" s="111"/>
      <c r="O33" s="42"/>
      <c r="P33" s="156">
        <f>I31+K31+M31+P32</f>
        <v>11435</v>
      </c>
      <c r="Q33" s="157"/>
      <c r="R33" s="96" t="s">
        <v>33</v>
      </c>
      <c r="S33" s="42"/>
      <c r="T33" s="42"/>
      <c r="U33" s="42"/>
      <c r="V33" s="108"/>
      <c r="W33" s="76"/>
    </row>
    <row r="34" spans="1:23" ht="12" customHeight="1">
      <c r="A34" s="15" t="s">
        <v>42</v>
      </c>
      <c r="G34" s="99" t="s">
        <v>34</v>
      </c>
      <c r="H34" s="100"/>
      <c r="I34" s="158"/>
      <c r="J34" s="157"/>
      <c r="K34" s="158"/>
      <c r="L34" s="157"/>
      <c r="M34" s="158"/>
      <c r="N34" s="159"/>
      <c r="O34" s="157"/>
      <c r="P34" s="160">
        <v>0.8</v>
      </c>
      <c r="Q34" s="157"/>
      <c r="R34" s="96" t="s">
        <v>35</v>
      </c>
      <c r="S34" s="42"/>
      <c r="T34" s="42"/>
      <c r="U34" s="42"/>
      <c r="V34" s="108"/>
      <c r="W34" s="76"/>
    </row>
    <row r="35" spans="1:23" ht="12" customHeight="1">
      <c r="A35" s="15"/>
      <c r="G35" s="161" t="s">
        <v>36</v>
      </c>
      <c r="H35" s="162"/>
      <c r="I35" s="162"/>
      <c r="J35" s="112"/>
      <c r="K35" s="113"/>
      <c r="L35" s="112"/>
      <c r="M35" s="113"/>
      <c r="N35" s="114"/>
      <c r="O35" s="112"/>
      <c r="P35" s="163">
        <f>P33/P34</f>
        <v>14293.75</v>
      </c>
      <c r="Q35" s="164"/>
      <c r="R35" s="115" t="s">
        <v>37</v>
      </c>
      <c r="S35" s="112"/>
      <c r="T35" s="112"/>
      <c r="U35" s="112"/>
      <c r="V35" s="116"/>
      <c r="W35" s="56"/>
    </row>
    <row r="36" spans="1:23" ht="12" customHeight="1" thickBot="1">
      <c r="A36" s="117"/>
      <c r="B36" s="118"/>
      <c r="C36" s="118"/>
      <c r="D36" s="118"/>
      <c r="E36" s="118"/>
      <c r="F36" s="119"/>
      <c r="G36" s="120" t="s">
        <v>38</v>
      </c>
      <c r="H36" s="121"/>
      <c r="I36" s="152"/>
      <c r="J36" s="153"/>
      <c r="K36" s="152"/>
      <c r="L36" s="153"/>
      <c r="M36" s="152"/>
      <c r="N36" s="154"/>
      <c r="O36" s="153"/>
      <c r="P36" s="155">
        <f>ROUNDUP(P33/575,1)</f>
        <v>19.900000000000002</v>
      </c>
      <c r="Q36" s="153"/>
      <c r="R36" s="122" t="s">
        <v>39</v>
      </c>
      <c r="S36" s="123"/>
      <c r="T36" s="123"/>
      <c r="U36" s="123"/>
      <c r="V36" s="124"/>
      <c r="W36" s="125"/>
    </row>
    <row r="37" spans="1:23" ht="12" customHeight="1">
      <c r="A37" s="18"/>
      <c r="G37" s="20"/>
      <c r="J37" s="7"/>
      <c r="N37" s="8"/>
      <c r="R37" s="126"/>
      <c r="W37" s="21"/>
    </row>
    <row r="38" spans="1:23" ht="12" customHeight="1" thickBot="1">
      <c r="A38" s="117"/>
      <c r="B38" s="118"/>
      <c r="C38" s="118"/>
      <c r="D38" s="118"/>
      <c r="E38" s="118"/>
      <c r="F38" s="119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9"/>
      <c r="S38" s="118"/>
      <c r="T38" s="118"/>
      <c r="U38" s="118"/>
      <c r="V38" s="118"/>
      <c r="W38" s="127"/>
    </row>
    <row r="39" spans="1:23" ht="12" customHeight="1"/>
    <row r="40" spans="1:23" ht="12" customHeight="1"/>
    <row r="41" spans="1:23" ht="12" customHeight="1"/>
    <row r="42" spans="1:23" ht="34.5" customHeight="1">
      <c r="C42" s="128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20"/>
      <c r="J49" s="7"/>
      <c r="N49" s="8"/>
      <c r="R49" s="126"/>
    </row>
    <row r="50" spans="7:18">
      <c r="G50" s="20"/>
      <c r="J50" s="7"/>
      <c r="N50" s="8"/>
      <c r="R50" s="126"/>
    </row>
    <row r="51" spans="7:18">
      <c r="G51" s="20"/>
      <c r="J51" s="7"/>
      <c r="N51" s="8"/>
      <c r="R51" s="126"/>
    </row>
    <row r="52" spans="7:18">
      <c r="G52" s="20"/>
      <c r="J52" s="7"/>
      <c r="N52" s="8"/>
      <c r="R52" s="126"/>
    </row>
    <row r="53" spans="7:18">
      <c r="G53" s="20"/>
      <c r="J53" s="7"/>
      <c r="N53" s="8"/>
      <c r="R53" s="126"/>
    </row>
    <row r="54" spans="7:18">
      <c r="G54" s="20"/>
      <c r="J54" s="7"/>
      <c r="N54" s="8"/>
      <c r="R54" s="126"/>
    </row>
    <row r="55" spans="7:18">
      <c r="G55" s="20"/>
      <c r="J55" s="7"/>
      <c r="N55" s="8"/>
      <c r="R55" s="126"/>
    </row>
    <row r="56" spans="7:18">
      <c r="G56" s="20"/>
      <c r="J56" s="7"/>
      <c r="N56" s="8"/>
      <c r="R56" s="126"/>
    </row>
    <row r="57" spans="7:18">
      <c r="G57" s="20"/>
      <c r="J57" s="7"/>
      <c r="N57" s="8"/>
      <c r="R57" s="126"/>
    </row>
    <row r="58" spans="7:18">
      <c r="G58" s="20"/>
      <c r="J58" s="7"/>
      <c r="N58" s="8"/>
      <c r="R58" s="126"/>
    </row>
    <row r="59" spans="7:18">
      <c r="G59" s="20"/>
      <c r="J59" s="7"/>
      <c r="N59" s="8"/>
      <c r="R59" s="126"/>
    </row>
    <row r="60" spans="7:18">
      <c r="G60" s="20"/>
      <c r="J60" s="7"/>
      <c r="N60" s="8"/>
      <c r="R60" s="126"/>
    </row>
    <row r="61" spans="7:18">
      <c r="G61" s="20"/>
      <c r="J61" s="7"/>
      <c r="N61" s="8"/>
      <c r="R61" s="126"/>
    </row>
    <row r="62" spans="7:18">
      <c r="G62" s="20"/>
      <c r="J62" s="7"/>
      <c r="N62" s="8"/>
      <c r="R62" s="126"/>
    </row>
    <row r="63" spans="7:18">
      <c r="G63" s="20"/>
      <c r="J63" s="7"/>
      <c r="N63" s="8"/>
      <c r="R63" s="126"/>
    </row>
    <row r="64" spans="7:18">
      <c r="G64" s="20"/>
      <c r="J64" s="7"/>
      <c r="N64" s="8"/>
      <c r="R64" s="126"/>
    </row>
    <row r="65" spans="7:18">
      <c r="G65" s="20"/>
      <c r="J65" s="7"/>
      <c r="N65" s="8"/>
      <c r="R65" s="126"/>
    </row>
    <row r="66" spans="7:18">
      <c r="G66" s="20"/>
      <c r="J66" s="7"/>
      <c r="N66" s="8"/>
      <c r="R66" s="126"/>
    </row>
    <row r="67" spans="7:18">
      <c r="G67" s="20"/>
      <c r="J67" s="7"/>
      <c r="N67" s="8"/>
      <c r="R67" s="126"/>
    </row>
    <row r="68" spans="7:18">
      <c r="G68" s="20"/>
      <c r="J68" s="7"/>
      <c r="N68" s="8"/>
      <c r="R68" s="126"/>
    </row>
    <row r="69" spans="7:18">
      <c r="G69" s="20"/>
      <c r="J69" s="7"/>
      <c r="N69" s="8"/>
      <c r="R69" s="126"/>
    </row>
    <row r="70" spans="7:18">
      <c r="G70" s="20"/>
      <c r="J70" s="7"/>
      <c r="N70" s="8"/>
      <c r="R70" s="126"/>
    </row>
    <row r="71" spans="7:18">
      <c r="G71" s="20"/>
      <c r="J71" s="7"/>
      <c r="N71" s="8"/>
      <c r="R71" s="126"/>
    </row>
    <row r="72" spans="7:18">
      <c r="G72" s="20"/>
      <c r="J72" s="7"/>
      <c r="N72" s="8"/>
      <c r="R72" s="126"/>
    </row>
    <row r="73" spans="7:18">
      <c r="G73" s="20"/>
      <c r="J73" s="7"/>
      <c r="N73" s="8"/>
      <c r="R73" s="126"/>
    </row>
    <row r="74" spans="7:18">
      <c r="G74" s="20"/>
      <c r="J74" s="7"/>
      <c r="N74" s="8"/>
      <c r="R74" s="126"/>
    </row>
    <row r="75" spans="7:18">
      <c r="G75" s="20"/>
      <c r="J75" s="7"/>
      <c r="N75" s="8"/>
      <c r="R75" s="126"/>
    </row>
    <row r="76" spans="7:18">
      <c r="G76" s="20"/>
      <c r="J76" s="7"/>
      <c r="N76" s="8"/>
      <c r="R76" s="126"/>
    </row>
    <row r="77" spans="7:18">
      <c r="G77" s="20"/>
      <c r="J77" s="7"/>
      <c r="N77" s="8"/>
      <c r="R77" s="126"/>
    </row>
    <row r="78" spans="7:18">
      <c r="G78" s="20"/>
      <c r="J78" s="7"/>
      <c r="N78" s="8"/>
      <c r="R78" s="126"/>
    </row>
    <row r="79" spans="7:18">
      <c r="G79" s="20"/>
      <c r="J79" s="7"/>
      <c r="N79" s="8"/>
      <c r="R79" s="126"/>
    </row>
    <row r="80" spans="7:18">
      <c r="G80" s="20"/>
      <c r="J80" s="7"/>
      <c r="N80" s="8"/>
      <c r="R80" s="126"/>
    </row>
    <row r="81" spans="7:18">
      <c r="G81" s="20"/>
      <c r="J81" s="7"/>
      <c r="N81" s="8"/>
      <c r="R81" s="126"/>
    </row>
    <row r="82" spans="7:18">
      <c r="G82" s="20"/>
      <c r="J82" s="7"/>
      <c r="N82" s="8"/>
      <c r="R82" s="126"/>
    </row>
    <row r="83" spans="7:18">
      <c r="G83" s="20"/>
      <c r="J83" s="7"/>
      <c r="N83" s="8"/>
      <c r="R83" s="126"/>
    </row>
    <row r="84" spans="7:18">
      <c r="G84" s="20"/>
      <c r="J84" s="7"/>
      <c r="N84" s="8"/>
      <c r="R84" s="126"/>
    </row>
    <row r="85" spans="7:18">
      <c r="G85" s="20"/>
      <c r="J85" s="7"/>
      <c r="N85" s="8"/>
      <c r="R85" s="126"/>
    </row>
    <row r="86" spans="7:18">
      <c r="G86" s="20"/>
      <c r="J86" s="7"/>
      <c r="N86" s="8"/>
      <c r="R86" s="126"/>
    </row>
    <row r="87" spans="7:18">
      <c r="G87" s="20"/>
      <c r="J87" s="7"/>
      <c r="N87" s="8"/>
      <c r="R87" s="126"/>
    </row>
    <row r="88" spans="7:18">
      <c r="G88" s="20"/>
      <c r="J88" s="7"/>
      <c r="N88" s="8"/>
      <c r="R88" s="126"/>
    </row>
    <row r="89" spans="7:18">
      <c r="G89" s="20"/>
      <c r="J89" s="7"/>
      <c r="N89" s="8"/>
      <c r="R89" s="126"/>
    </row>
    <row r="90" spans="7:18">
      <c r="G90" s="20"/>
      <c r="J90" s="7"/>
      <c r="N90" s="8"/>
      <c r="R90" s="126"/>
    </row>
    <row r="91" spans="7:18">
      <c r="G91" s="20"/>
      <c r="J91" s="7"/>
      <c r="N91" s="8"/>
      <c r="R91" s="126"/>
    </row>
    <row r="92" spans="7:18">
      <c r="G92" s="20"/>
      <c r="J92" s="7"/>
      <c r="N92" s="8"/>
      <c r="R92" s="126"/>
    </row>
    <row r="93" spans="7:18">
      <c r="G93" s="20"/>
      <c r="J93" s="7"/>
      <c r="N93" s="8"/>
      <c r="R93" s="126"/>
    </row>
    <row r="94" spans="7:18">
      <c r="G94" s="20"/>
      <c r="J94" s="7"/>
      <c r="N94" s="8"/>
      <c r="R94" s="126"/>
    </row>
    <row r="95" spans="7:18">
      <c r="G95" s="20"/>
      <c r="J95" s="7"/>
      <c r="N95" s="8"/>
      <c r="R95" s="126"/>
    </row>
    <row r="96" spans="7:18">
      <c r="G96" s="20"/>
      <c r="J96" s="7"/>
      <c r="N96" s="8"/>
      <c r="R96" s="126"/>
    </row>
    <row r="97" spans="7:18">
      <c r="G97" s="20"/>
      <c r="J97" s="7"/>
      <c r="N97" s="8"/>
      <c r="R97" s="126"/>
    </row>
    <row r="98" spans="7:18">
      <c r="G98" s="20"/>
      <c r="J98" s="7"/>
      <c r="N98" s="8"/>
      <c r="R98" s="126"/>
    </row>
    <row r="99" spans="7:18">
      <c r="G99" s="20"/>
      <c r="J99" s="7"/>
      <c r="N99" s="8"/>
      <c r="R99" s="126"/>
    </row>
    <row r="100" spans="7:18">
      <c r="G100" s="20"/>
      <c r="J100" s="7"/>
      <c r="N100" s="8"/>
      <c r="R100" s="126"/>
    </row>
  </sheetData>
  <mergeCells count="33"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G32:H32"/>
    <mergeCell ref="P32:Q32"/>
    <mergeCell ref="L8:L26"/>
    <mergeCell ref="A26:B26"/>
    <mergeCell ref="A28:B28"/>
    <mergeCell ref="I31:J31"/>
    <mergeCell ref="K31:L31"/>
    <mergeCell ref="M31:O31"/>
    <mergeCell ref="P31:Q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M4" workbookViewId="0">
      <selection activeCell="V8" sqref="V8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9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9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4" ht="12" customHeight="1">
      <c r="A1" s="181" t="s">
        <v>87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3"/>
    </row>
    <row r="2" spans="1:24" ht="12" customHeight="1">
      <c r="A2" s="2" t="s">
        <v>0</v>
      </c>
      <c r="B2" s="184" t="s">
        <v>44</v>
      </c>
      <c r="C2" s="159"/>
      <c r="D2" s="159"/>
      <c r="E2" s="3"/>
      <c r="F2" s="4"/>
      <c r="G2" s="5"/>
      <c r="H2" s="6"/>
      <c r="I2" s="6"/>
      <c r="J2" s="7"/>
      <c r="K2" s="6"/>
      <c r="L2" s="6"/>
      <c r="M2" s="6"/>
      <c r="N2" s="8"/>
      <c r="O2" s="6"/>
      <c r="P2" s="9" t="s">
        <v>1</v>
      </c>
      <c r="Q2" s="138" t="s">
        <v>43</v>
      </c>
      <c r="R2" s="4"/>
      <c r="S2" s="3"/>
      <c r="T2" s="3"/>
      <c r="U2" s="3"/>
      <c r="V2" s="10"/>
      <c r="W2" s="11"/>
    </row>
    <row r="3" spans="1:24" ht="12" customHeight="1">
      <c r="A3" s="2" t="s">
        <v>2</v>
      </c>
      <c r="B3" s="184" t="s">
        <v>3</v>
      </c>
      <c r="C3" s="159"/>
      <c r="D3" s="159"/>
      <c r="E3" s="3"/>
      <c r="F3" s="4"/>
      <c r="G3" s="5"/>
      <c r="H3" s="3"/>
      <c r="I3" s="3"/>
      <c r="J3" s="12"/>
      <c r="K3" s="3"/>
      <c r="L3" s="3"/>
      <c r="M3" s="3"/>
      <c r="N3" s="13"/>
      <c r="O3" s="3"/>
      <c r="P3" s="9" t="s">
        <v>4</v>
      </c>
      <c r="Q3" s="3" t="s">
        <v>86</v>
      </c>
      <c r="R3" s="4"/>
      <c r="S3" s="3"/>
      <c r="T3" s="3"/>
      <c r="U3" s="3"/>
      <c r="V3" s="3"/>
      <c r="W3" s="14"/>
    </row>
    <row r="4" spans="1:24" ht="12" customHeight="1">
      <c r="A4" s="15" t="s">
        <v>5</v>
      </c>
      <c r="B4" s="185"/>
      <c r="C4" s="162"/>
      <c r="D4" s="162"/>
      <c r="E4" s="16"/>
      <c r="F4" s="17"/>
      <c r="G4" s="17"/>
      <c r="H4" s="6"/>
      <c r="I4" s="6"/>
      <c r="J4" s="7"/>
      <c r="K4" s="6"/>
      <c r="L4" s="6"/>
      <c r="M4" s="6"/>
      <c r="N4" s="8"/>
      <c r="O4" s="6"/>
      <c r="P4" s="6" t="s">
        <v>6</v>
      </c>
      <c r="Q4" s="185" t="s">
        <v>7</v>
      </c>
      <c r="R4" s="162"/>
      <c r="S4" s="6"/>
      <c r="T4" s="6"/>
      <c r="U4" s="6"/>
      <c r="V4" s="6"/>
      <c r="W4" s="11"/>
    </row>
    <row r="5" spans="1:24" ht="12" customHeight="1">
      <c r="A5" s="18"/>
      <c r="G5" s="20"/>
      <c r="J5" s="7"/>
      <c r="N5" s="8"/>
      <c r="W5" s="21"/>
    </row>
    <row r="6" spans="1:24" ht="34.5" customHeight="1" thickBot="1">
      <c r="A6" s="22" t="s">
        <v>8</v>
      </c>
      <c r="B6" s="23" t="s">
        <v>9</v>
      </c>
      <c r="C6" s="23" t="s">
        <v>10</v>
      </c>
      <c r="D6" s="24" t="s">
        <v>11</v>
      </c>
      <c r="E6" s="24" t="s">
        <v>12</v>
      </c>
      <c r="F6" s="25" t="s">
        <v>13</v>
      </c>
      <c r="G6" s="186" t="s">
        <v>14</v>
      </c>
      <c r="H6" s="187"/>
      <c r="I6" s="188"/>
      <c r="J6" s="189" t="s">
        <v>15</v>
      </c>
      <c r="K6" s="190"/>
      <c r="L6" s="190"/>
      <c r="M6" s="190"/>
      <c r="N6" s="191"/>
      <c r="O6" s="186" t="s">
        <v>14</v>
      </c>
      <c r="P6" s="187"/>
      <c r="Q6" s="188"/>
      <c r="R6" s="25" t="s">
        <v>13</v>
      </c>
      <c r="S6" s="24" t="s">
        <v>12</v>
      </c>
      <c r="T6" s="24" t="s">
        <v>11</v>
      </c>
      <c r="U6" s="23" t="s">
        <v>10</v>
      </c>
      <c r="V6" s="23" t="s">
        <v>9</v>
      </c>
      <c r="W6" s="26" t="s">
        <v>8</v>
      </c>
    </row>
    <row r="7" spans="1:24" ht="12" customHeight="1" thickTop="1">
      <c r="A7" s="27"/>
      <c r="B7" s="28"/>
      <c r="C7" s="29"/>
      <c r="D7" s="29"/>
      <c r="E7" s="29"/>
      <c r="F7" s="30"/>
      <c r="G7" s="31" t="s">
        <v>16</v>
      </c>
      <c r="H7" s="32" t="s">
        <v>17</v>
      </c>
      <c r="I7" s="32" t="s">
        <v>18</v>
      </c>
      <c r="J7" s="33"/>
      <c r="K7" s="34"/>
      <c r="L7" s="35"/>
      <c r="M7" s="35"/>
      <c r="N7" s="36"/>
      <c r="O7" s="37" t="s">
        <v>16</v>
      </c>
      <c r="P7" s="32" t="s">
        <v>17</v>
      </c>
      <c r="Q7" s="38" t="s">
        <v>18</v>
      </c>
      <c r="R7" s="39"/>
      <c r="S7" s="40"/>
      <c r="T7" s="40"/>
      <c r="U7" s="40"/>
      <c r="V7" s="28"/>
      <c r="W7" s="41"/>
    </row>
    <row r="8" spans="1:24" ht="12" customHeight="1">
      <c r="A8" s="129" t="s">
        <v>88</v>
      </c>
      <c r="B8" s="130" t="s">
        <v>21</v>
      </c>
      <c r="C8" s="131">
        <v>15</v>
      </c>
      <c r="D8" s="53">
        <v>100</v>
      </c>
      <c r="E8" s="44">
        <f t="shared" ref="E8:E25" si="0">C8*D8</f>
        <v>1500</v>
      </c>
      <c r="F8" s="45">
        <v>0.45</v>
      </c>
      <c r="G8" s="46">
        <f>E8*F8</f>
        <v>675</v>
      </c>
      <c r="H8" s="43"/>
      <c r="I8" s="47"/>
      <c r="J8" s="48">
        <v>1</v>
      </c>
      <c r="K8" s="49">
        <v>10</v>
      </c>
      <c r="L8" s="172"/>
      <c r="M8" s="49">
        <v>20</v>
      </c>
      <c r="N8" s="50">
        <v>10</v>
      </c>
      <c r="O8" s="51">
        <f>S8*R8</f>
        <v>680</v>
      </c>
      <c r="P8" s="51"/>
      <c r="R8" s="133">
        <v>0.8</v>
      </c>
      <c r="S8" s="134">
        <f t="shared" ref="S8:S25" si="1">T8*U8</f>
        <v>850</v>
      </c>
      <c r="T8" s="135">
        <v>850</v>
      </c>
      <c r="U8" s="134">
        <v>1</v>
      </c>
      <c r="V8" s="136" t="s">
        <v>19</v>
      </c>
      <c r="W8" s="137" t="s">
        <v>105</v>
      </c>
    </row>
    <row r="9" spans="1:24" ht="12" customHeight="1">
      <c r="A9" s="147" t="s">
        <v>89</v>
      </c>
      <c r="B9" s="136" t="s">
        <v>19</v>
      </c>
      <c r="C9" s="148">
        <v>1</v>
      </c>
      <c r="D9" s="135">
        <v>1500</v>
      </c>
      <c r="E9" s="149">
        <f t="shared" si="0"/>
        <v>1500</v>
      </c>
      <c r="F9" s="133">
        <v>0.8</v>
      </c>
      <c r="G9" s="55"/>
      <c r="H9" s="55">
        <f>E9*F9</f>
        <v>1200</v>
      </c>
      <c r="J9" s="48">
        <v>2</v>
      </c>
      <c r="K9" s="49">
        <v>20</v>
      </c>
      <c r="L9" s="173"/>
      <c r="M9" s="49">
        <v>10</v>
      </c>
      <c r="N9" s="50">
        <v>11</v>
      </c>
      <c r="P9" s="55">
        <f>S9*R9</f>
        <v>495</v>
      </c>
      <c r="Q9" s="55"/>
      <c r="R9" s="45">
        <v>0.45</v>
      </c>
      <c r="S9" s="52">
        <f t="shared" si="1"/>
        <v>1100</v>
      </c>
      <c r="T9" s="53">
        <v>100</v>
      </c>
      <c r="U9" s="43">
        <v>11</v>
      </c>
      <c r="V9" s="140" t="s">
        <v>21</v>
      </c>
      <c r="W9" s="144" t="s">
        <v>96</v>
      </c>
    </row>
    <row r="10" spans="1:24" ht="12" customHeight="1">
      <c r="A10" s="129" t="s">
        <v>90</v>
      </c>
      <c r="B10" s="130" t="s">
        <v>21</v>
      </c>
      <c r="C10" s="131">
        <v>1</v>
      </c>
      <c r="D10" s="53">
        <v>1000</v>
      </c>
      <c r="E10" s="44">
        <f t="shared" si="0"/>
        <v>1000</v>
      </c>
      <c r="F10" s="45">
        <v>0.45</v>
      </c>
      <c r="G10" s="55"/>
      <c r="I10" s="55">
        <f>E10*F10</f>
        <v>450</v>
      </c>
      <c r="J10" s="48">
        <v>3</v>
      </c>
      <c r="K10" s="49">
        <v>10</v>
      </c>
      <c r="L10" s="173"/>
      <c r="M10" s="49">
        <v>10</v>
      </c>
      <c r="N10" s="50">
        <v>12</v>
      </c>
      <c r="O10" s="57"/>
      <c r="Q10" s="55">
        <f>S10*R10</f>
        <v>450</v>
      </c>
      <c r="R10" s="45">
        <v>0.45</v>
      </c>
      <c r="S10" s="52">
        <f t="shared" si="1"/>
        <v>1000</v>
      </c>
      <c r="T10" s="53">
        <v>100</v>
      </c>
      <c r="U10" s="43">
        <v>10</v>
      </c>
      <c r="V10" s="140" t="s">
        <v>21</v>
      </c>
      <c r="W10" s="144" t="s">
        <v>97</v>
      </c>
    </row>
    <row r="11" spans="1:24" ht="12" customHeight="1">
      <c r="A11" s="147" t="s">
        <v>91</v>
      </c>
      <c r="B11" s="136" t="s">
        <v>19</v>
      </c>
      <c r="C11" s="148">
        <v>1</v>
      </c>
      <c r="D11" s="135">
        <v>1500</v>
      </c>
      <c r="E11" s="149">
        <f t="shared" si="0"/>
        <v>1500</v>
      </c>
      <c r="F11" s="133">
        <v>0.8</v>
      </c>
      <c r="G11" s="55">
        <f>E11*F11</f>
        <v>1200</v>
      </c>
      <c r="H11" s="57"/>
      <c r="J11" s="48">
        <v>4</v>
      </c>
      <c r="K11" s="49">
        <v>20</v>
      </c>
      <c r="L11" s="173"/>
      <c r="M11" s="49">
        <v>10</v>
      </c>
      <c r="N11" s="50">
        <v>13</v>
      </c>
      <c r="O11" s="51">
        <f>S11*R11</f>
        <v>360</v>
      </c>
      <c r="P11" s="51"/>
      <c r="R11" s="45">
        <v>0.45</v>
      </c>
      <c r="S11" s="52">
        <f t="shared" si="1"/>
        <v>800</v>
      </c>
      <c r="T11" s="53">
        <v>100</v>
      </c>
      <c r="U11" s="43">
        <v>8</v>
      </c>
      <c r="V11" s="139" t="s">
        <v>21</v>
      </c>
      <c r="W11" s="143" t="s">
        <v>98</v>
      </c>
    </row>
    <row r="12" spans="1:24" ht="12" customHeight="1">
      <c r="A12" s="194" t="s">
        <v>94</v>
      </c>
      <c r="B12" s="193" t="s">
        <v>19</v>
      </c>
      <c r="C12" s="43">
        <v>1</v>
      </c>
      <c r="D12" s="63">
        <v>850</v>
      </c>
      <c r="E12" s="44">
        <f t="shared" ref="E12" si="2">C12*D12</f>
        <v>850</v>
      </c>
      <c r="F12" s="45">
        <v>0.8</v>
      </c>
      <c r="G12" s="58"/>
      <c r="H12" s="55">
        <f>E12*F12</f>
        <v>680</v>
      </c>
      <c r="I12" s="59"/>
      <c r="J12" s="48">
        <v>5</v>
      </c>
      <c r="K12" s="49">
        <v>20</v>
      </c>
      <c r="L12" s="173"/>
      <c r="M12" s="49">
        <v>20</v>
      </c>
      <c r="N12" s="50">
        <v>14</v>
      </c>
      <c r="O12" s="51"/>
      <c r="P12" s="51">
        <f>R12*S12</f>
        <v>680</v>
      </c>
      <c r="Q12" s="59"/>
      <c r="R12" s="133">
        <v>0.8</v>
      </c>
      <c r="S12" s="134">
        <f t="shared" si="1"/>
        <v>850</v>
      </c>
      <c r="T12" s="135">
        <v>850</v>
      </c>
      <c r="U12" s="134">
        <v>1</v>
      </c>
      <c r="V12" s="141" t="s">
        <v>19</v>
      </c>
      <c r="W12" s="144" t="s">
        <v>99</v>
      </c>
    </row>
    <row r="13" spans="1:24" ht="12" customHeight="1">
      <c r="A13" s="62" t="s">
        <v>92</v>
      </c>
      <c r="B13" s="42" t="s">
        <v>23</v>
      </c>
      <c r="C13" s="43">
        <v>4</v>
      </c>
      <c r="D13" s="63">
        <v>250</v>
      </c>
      <c r="E13" s="44">
        <f t="shared" si="0"/>
        <v>1000</v>
      </c>
      <c r="F13" s="45">
        <v>0.45</v>
      </c>
      <c r="I13" s="55">
        <f>E13*F13</f>
        <v>450</v>
      </c>
      <c r="J13" s="48">
        <v>6</v>
      </c>
      <c r="K13" s="49">
        <v>30</v>
      </c>
      <c r="L13" s="173"/>
      <c r="M13" s="60">
        <v>30</v>
      </c>
      <c r="N13" s="50">
        <v>15</v>
      </c>
      <c r="P13" s="61"/>
      <c r="Q13" s="55">
        <f>S13*R13</f>
        <v>337.5</v>
      </c>
      <c r="R13" s="133">
        <v>0.45</v>
      </c>
      <c r="S13" s="134">
        <f t="shared" si="1"/>
        <v>750</v>
      </c>
      <c r="T13" s="135">
        <v>250</v>
      </c>
      <c r="U13" s="134">
        <v>3</v>
      </c>
      <c r="V13" s="42" t="s">
        <v>23</v>
      </c>
      <c r="W13" s="196" t="s">
        <v>100</v>
      </c>
      <c r="X13" s="142"/>
    </row>
    <row r="14" spans="1:24" ht="12" customHeight="1">
      <c r="A14" s="62" t="s">
        <v>93</v>
      </c>
      <c r="B14" s="42" t="s">
        <v>23</v>
      </c>
      <c r="C14" s="43">
        <v>6</v>
      </c>
      <c r="D14" s="63">
        <v>250</v>
      </c>
      <c r="E14" s="44">
        <f t="shared" si="0"/>
        <v>1500</v>
      </c>
      <c r="F14" s="45">
        <v>0.45</v>
      </c>
      <c r="G14" s="55">
        <f>E14*F14</f>
        <v>675</v>
      </c>
      <c r="H14" s="51"/>
      <c r="I14" s="51"/>
      <c r="J14" s="48">
        <v>7</v>
      </c>
      <c r="K14" s="49">
        <v>30</v>
      </c>
      <c r="L14" s="173"/>
      <c r="M14" s="60">
        <v>20</v>
      </c>
      <c r="N14" s="50">
        <v>16</v>
      </c>
      <c r="O14" s="51">
        <f>S14*R14</f>
        <v>0</v>
      </c>
      <c r="P14" s="59"/>
      <c r="Q14" s="51"/>
      <c r="R14" s="133">
        <v>0.8</v>
      </c>
      <c r="S14" s="134">
        <f t="shared" si="1"/>
        <v>0</v>
      </c>
      <c r="T14" s="135">
        <v>850</v>
      </c>
      <c r="U14" s="134">
        <v>0</v>
      </c>
      <c r="V14" s="136" t="s">
        <v>19</v>
      </c>
      <c r="W14" s="145" t="s">
        <v>22</v>
      </c>
    </row>
    <row r="15" spans="1:24" ht="12" customHeight="1">
      <c r="A15" s="194" t="s">
        <v>22</v>
      </c>
      <c r="B15" s="193" t="s">
        <v>19</v>
      </c>
      <c r="C15" s="43">
        <v>0</v>
      </c>
      <c r="D15" s="63">
        <v>850</v>
      </c>
      <c r="E15" s="44">
        <f t="shared" si="0"/>
        <v>0</v>
      </c>
      <c r="F15" s="45">
        <v>0.8</v>
      </c>
      <c r="G15" s="55"/>
      <c r="H15" s="51">
        <f>E15*F15</f>
        <v>0</v>
      </c>
      <c r="J15" s="48">
        <v>8</v>
      </c>
      <c r="K15" s="64">
        <v>20</v>
      </c>
      <c r="L15" s="173"/>
      <c r="M15" s="60">
        <v>20</v>
      </c>
      <c r="N15" s="50">
        <v>17</v>
      </c>
      <c r="P15" s="51">
        <f>S15*R15</f>
        <v>680</v>
      </c>
      <c r="Q15" s="51"/>
      <c r="R15" s="133">
        <v>0.8</v>
      </c>
      <c r="S15" s="134">
        <f t="shared" si="1"/>
        <v>850</v>
      </c>
      <c r="T15" s="135">
        <v>850</v>
      </c>
      <c r="U15" s="134">
        <v>1</v>
      </c>
      <c r="V15" s="136" t="s">
        <v>19</v>
      </c>
      <c r="W15" s="145" t="s">
        <v>101</v>
      </c>
    </row>
    <row r="16" spans="1:24" ht="12" customHeight="1">
      <c r="A16" s="62" t="s">
        <v>95</v>
      </c>
      <c r="B16" s="42" t="s">
        <v>23</v>
      </c>
      <c r="C16" s="43">
        <v>5</v>
      </c>
      <c r="D16" s="63">
        <v>250</v>
      </c>
      <c r="E16" s="44">
        <f t="shared" si="0"/>
        <v>1250</v>
      </c>
      <c r="F16" s="45">
        <v>0.45</v>
      </c>
      <c r="G16" s="55"/>
      <c r="I16" s="51">
        <f>E16*F16</f>
        <v>562.5</v>
      </c>
      <c r="J16" s="48">
        <v>9</v>
      </c>
      <c r="K16" s="64">
        <v>30</v>
      </c>
      <c r="L16" s="173"/>
      <c r="M16" s="60">
        <v>20</v>
      </c>
      <c r="N16" s="50">
        <v>18</v>
      </c>
      <c r="O16" s="51"/>
      <c r="P16" s="51"/>
      <c r="Q16" s="51">
        <f>R16*S16</f>
        <v>1360</v>
      </c>
      <c r="R16" s="133">
        <v>0.8</v>
      </c>
      <c r="S16" s="134">
        <f t="shared" si="1"/>
        <v>1700</v>
      </c>
      <c r="T16" s="135">
        <v>1700</v>
      </c>
      <c r="U16" s="134">
        <v>1</v>
      </c>
      <c r="V16" s="141" t="s">
        <v>19</v>
      </c>
      <c r="W16" s="144" t="s">
        <v>102</v>
      </c>
    </row>
    <row r="17" spans="1:23" ht="12" customHeight="1">
      <c r="A17" s="147" t="s">
        <v>22</v>
      </c>
      <c r="B17" s="136" t="s">
        <v>19</v>
      </c>
      <c r="C17" s="148">
        <v>0</v>
      </c>
      <c r="D17" s="135">
        <v>1500</v>
      </c>
      <c r="E17" s="149">
        <f t="shared" si="0"/>
        <v>0</v>
      </c>
      <c r="F17" s="133">
        <v>0.8</v>
      </c>
      <c r="G17" s="51">
        <f>F17*E17</f>
        <v>0</v>
      </c>
      <c r="H17" s="68"/>
      <c r="I17" s="51"/>
      <c r="J17" s="48"/>
      <c r="K17" s="64">
        <v>30</v>
      </c>
      <c r="L17" s="173"/>
      <c r="M17" s="60">
        <v>30</v>
      </c>
      <c r="N17" s="50"/>
      <c r="O17" s="51">
        <f>S17*R17</f>
        <v>0</v>
      </c>
      <c r="Q17" s="51"/>
      <c r="R17" s="133">
        <v>0.4</v>
      </c>
      <c r="S17" s="134">
        <f t="shared" si="1"/>
        <v>0</v>
      </c>
      <c r="T17" s="135">
        <v>3000</v>
      </c>
      <c r="U17" s="134">
        <v>0</v>
      </c>
      <c r="V17" s="141" t="s">
        <v>20</v>
      </c>
      <c r="W17" s="195" t="s">
        <v>22</v>
      </c>
    </row>
    <row r="18" spans="1:23" ht="12" customHeight="1">
      <c r="A18" s="147" t="s">
        <v>22</v>
      </c>
      <c r="B18" s="136" t="s">
        <v>19</v>
      </c>
      <c r="C18" s="148">
        <v>0</v>
      </c>
      <c r="D18" s="135">
        <v>1500</v>
      </c>
      <c r="E18" s="149">
        <f t="shared" si="0"/>
        <v>0</v>
      </c>
      <c r="F18" s="133">
        <v>0.8</v>
      </c>
      <c r="G18" s="55"/>
      <c r="H18" s="51">
        <f>E18*F18</f>
        <v>0</v>
      </c>
      <c r="J18" s="48"/>
      <c r="K18" s="64">
        <v>20</v>
      </c>
      <c r="L18" s="173"/>
      <c r="M18" s="60">
        <v>30</v>
      </c>
      <c r="N18" s="50"/>
      <c r="P18" s="51">
        <f>R18*S18</f>
        <v>0</v>
      </c>
      <c r="Q18" s="51"/>
      <c r="R18" s="133">
        <v>0.8</v>
      </c>
      <c r="S18" s="134">
        <f t="shared" si="1"/>
        <v>0</v>
      </c>
      <c r="T18" s="135">
        <v>850</v>
      </c>
      <c r="U18" s="134">
        <v>0</v>
      </c>
      <c r="V18" s="198" t="s">
        <v>19</v>
      </c>
      <c r="W18" s="144" t="s">
        <v>22</v>
      </c>
    </row>
    <row r="19" spans="1:23" ht="12" customHeight="1">
      <c r="A19" s="62" t="s">
        <v>22</v>
      </c>
      <c r="B19" s="42" t="s">
        <v>23</v>
      </c>
      <c r="C19" s="43">
        <v>0</v>
      </c>
      <c r="D19" s="63">
        <v>250</v>
      </c>
      <c r="E19" s="44">
        <f t="shared" si="0"/>
        <v>0</v>
      </c>
      <c r="F19" s="45">
        <v>0.45</v>
      </c>
      <c r="G19" s="55"/>
      <c r="I19" s="51">
        <f>E19*F19</f>
        <v>0</v>
      </c>
      <c r="J19" s="48"/>
      <c r="K19" s="64">
        <v>20</v>
      </c>
      <c r="L19" s="173"/>
      <c r="M19" s="64">
        <v>10</v>
      </c>
      <c r="N19" s="50"/>
      <c r="O19" s="51"/>
      <c r="P19" s="51"/>
      <c r="Q19" s="51">
        <f>R19*S19</f>
        <v>0</v>
      </c>
      <c r="R19" s="45">
        <v>0.45</v>
      </c>
      <c r="S19" s="52">
        <f t="shared" si="1"/>
        <v>0</v>
      </c>
      <c r="T19" s="53">
        <v>100</v>
      </c>
      <c r="U19" s="197">
        <v>0</v>
      </c>
      <c r="V19" s="199" t="s">
        <v>21</v>
      </c>
      <c r="W19" s="201" t="s">
        <v>22</v>
      </c>
    </row>
    <row r="20" spans="1:23" ht="12" customHeight="1">
      <c r="A20" s="54" t="s">
        <v>22</v>
      </c>
      <c r="B20" s="42" t="s">
        <v>19</v>
      </c>
      <c r="C20" s="43">
        <v>0</v>
      </c>
      <c r="D20" s="63">
        <v>1500</v>
      </c>
      <c r="E20" s="44">
        <f t="shared" si="0"/>
        <v>0</v>
      </c>
      <c r="F20" s="45">
        <v>0.8</v>
      </c>
      <c r="G20" s="51">
        <f>E20*F20</f>
        <v>0</v>
      </c>
      <c r="H20" s="51"/>
      <c r="I20" s="51"/>
      <c r="J20" s="48"/>
      <c r="K20" s="64">
        <v>20</v>
      </c>
      <c r="L20" s="173"/>
      <c r="M20" s="64">
        <v>30</v>
      </c>
      <c r="N20" s="48"/>
      <c r="O20" s="51">
        <f>R20*S20</f>
        <v>0</v>
      </c>
      <c r="Q20" s="51"/>
      <c r="R20" s="55">
        <v>0.6</v>
      </c>
      <c r="S20" s="52">
        <f t="shared" si="1"/>
        <v>0</v>
      </c>
      <c r="T20" s="63">
        <v>3000</v>
      </c>
      <c r="U20" s="52">
        <v>0</v>
      </c>
      <c r="V20" s="43" t="s">
        <v>20</v>
      </c>
      <c r="W20" s="202" t="s">
        <v>22</v>
      </c>
    </row>
    <row r="21" spans="1:23" ht="12" customHeight="1">
      <c r="A21" s="132" t="s">
        <v>22</v>
      </c>
      <c r="B21" s="42" t="s">
        <v>23</v>
      </c>
      <c r="C21" s="43">
        <v>0</v>
      </c>
      <c r="D21" s="63">
        <v>250</v>
      </c>
      <c r="E21" s="44">
        <f t="shared" si="0"/>
        <v>0</v>
      </c>
      <c r="F21" s="45">
        <v>0.45</v>
      </c>
      <c r="G21" s="55"/>
      <c r="H21" s="51">
        <f>E21*F21</f>
        <v>0</v>
      </c>
      <c r="J21" s="48"/>
      <c r="K21" s="64">
        <v>20</v>
      </c>
      <c r="L21" s="173"/>
      <c r="M21" s="64">
        <v>20</v>
      </c>
      <c r="N21" s="50"/>
      <c r="P21" s="51">
        <f>R21*S21</f>
        <v>0</v>
      </c>
      <c r="Q21" s="51"/>
      <c r="R21" s="55">
        <v>1</v>
      </c>
      <c r="S21" s="52">
        <f t="shared" si="1"/>
        <v>0</v>
      </c>
      <c r="T21" s="63">
        <v>400</v>
      </c>
      <c r="U21" s="52">
        <v>0</v>
      </c>
      <c r="V21" s="51" t="s">
        <v>24</v>
      </c>
      <c r="W21" s="67" t="s">
        <v>22</v>
      </c>
    </row>
    <row r="22" spans="1:23" ht="12" customHeight="1">
      <c r="A22" s="54" t="s">
        <v>22</v>
      </c>
      <c r="B22" s="42" t="s">
        <v>19</v>
      </c>
      <c r="C22" s="43">
        <v>0</v>
      </c>
      <c r="D22" s="53">
        <v>1119</v>
      </c>
      <c r="E22" s="44">
        <f t="shared" si="0"/>
        <v>0</v>
      </c>
      <c r="F22" s="45">
        <v>0.8</v>
      </c>
      <c r="G22" s="55"/>
      <c r="I22" s="51">
        <f>E22*F22</f>
        <v>0</v>
      </c>
      <c r="J22" s="48"/>
      <c r="K22" s="64">
        <v>15</v>
      </c>
      <c r="L22" s="173"/>
      <c r="M22" s="64">
        <v>20</v>
      </c>
      <c r="N22" s="50"/>
      <c r="O22" s="51"/>
      <c r="P22" s="51"/>
      <c r="Q22" s="51">
        <f>R22*S22</f>
        <v>0</v>
      </c>
      <c r="R22" s="133">
        <v>0.8</v>
      </c>
      <c r="S22" s="134">
        <f t="shared" si="1"/>
        <v>0</v>
      </c>
      <c r="T22" s="135">
        <v>1700</v>
      </c>
      <c r="U22" s="134">
        <v>0</v>
      </c>
      <c r="V22" s="141" t="s">
        <v>19</v>
      </c>
      <c r="W22" s="144" t="s">
        <v>22</v>
      </c>
    </row>
    <row r="23" spans="1:23" ht="12" customHeight="1">
      <c r="A23" s="54" t="s">
        <v>22</v>
      </c>
      <c r="B23" s="42" t="s">
        <v>19</v>
      </c>
      <c r="C23" s="43">
        <v>0</v>
      </c>
      <c r="D23" s="63">
        <v>1200</v>
      </c>
      <c r="E23" s="44">
        <f t="shared" si="0"/>
        <v>0</v>
      </c>
      <c r="F23" s="45">
        <v>1</v>
      </c>
      <c r="G23" s="51">
        <f>E23*F23</f>
        <v>0</v>
      </c>
      <c r="H23" s="51"/>
      <c r="I23" s="51"/>
      <c r="J23" s="48"/>
      <c r="K23" s="64">
        <v>20</v>
      </c>
      <c r="L23" s="173"/>
      <c r="M23" s="64">
        <v>20</v>
      </c>
      <c r="N23" s="50"/>
      <c r="O23" s="51">
        <f>R23*S23</f>
        <v>0</v>
      </c>
      <c r="Q23" s="51"/>
      <c r="R23" s="55">
        <v>1</v>
      </c>
      <c r="S23" s="52">
        <f t="shared" si="1"/>
        <v>0</v>
      </c>
      <c r="T23" s="63">
        <v>400</v>
      </c>
      <c r="U23" s="52">
        <v>0</v>
      </c>
      <c r="V23" s="66" t="s">
        <v>24</v>
      </c>
      <c r="W23" s="67" t="s">
        <v>22</v>
      </c>
    </row>
    <row r="24" spans="1:23" ht="12" customHeight="1">
      <c r="A24" s="54" t="s">
        <v>22</v>
      </c>
      <c r="B24" s="42" t="s">
        <v>19</v>
      </c>
      <c r="C24" s="43">
        <v>0</v>
      </c>
      <c r="D24" s="63">
        <v>1200</v>
      </c>
      <c r="E24" s="44">
        <f t="shared" si="0"/>
        <v>0</v>
      </c>
      <c r="F24" s="45">
        <v>1</v>
      </c>
      <c r="G24" s="55"/>
      <c r="H24" s="51">
        <f>E24*F24</f>
        <v>0</v>
      </c>
      <c r="J24" s="48"/>
      <c r="K24" s="64">
        <v>20</v>
      </c>
      <c r="L24" s="173"/>
      <c r="M24" s="64">
        <v>20</v>
      </c>
      <c r="N24" s="50"/>
      <c r="P24" s="51">
        <f>R24*S24</f>
        <v>0</v>
      </c>
      <c r="Q24" s="51"/>
      <c r="R24" s="55">
        <v>1</v>
      </c>
      <c r="S24" s="52">
        <f t="shared" si="1"/>
        <v>0</v>
      </c>
      <c r="T24" s="63">
        <v>400</v>
      </c>
      <c r="U24" s="52">
        <v>0</v>
      </c>
      <c r="V24" s="66" t="s">
        <v>24</v>
      </c>
      <c r="W24" s="67" t="s">
        <v>22</v>
      </c>
    </row>
    <row r="25" spans="1:23" ht="12" customHeight="1">
      <c r="A25" s="65" t="s">
        <v>22</v>
      </c>
      <c r="B25" s="42" t="s">
        <v>19</v>
      </c>
      <c r="C25" s="43">
        <v>0</v>
      </c>
      <c r="D25" s="63">
        <v>1200</v>
      </c>
      <c r="E25" s="44">
        <f t="shared" si="0"/>
        <v>0</v>
      </c>
      <c r="F25" s="45">
        <v>1</v>
      </c>
      <c r="G25" s="55"/>
      <c r="I25" s="51">
        <f>E25*F25</f>
        <v>0</v>
      </c>
      <c r="J25" s="48"/>
      <c r="K25" s="64">
        <v>20</v>
      </c>
      <c r="L25" s="173"/>
      <c r="M25" s="64">
        <v>20</v>
      </c>
      <c r="N25" s="50"/>
      <c r="O25" s="51"/>
      <c r="P25" s="51"/>
      <c r="Q25" s="51">
        <f>R25*S25</f>
        <v>0</v>
      </c>
      <c r="R25" s="55">
        <v>1</v>
      </c>
      <c r="S25" s="52">
        <f t="shared" si="1"/>
        <v>0</v>
      </c>
      <c r="T25" s="63">
        <v>400</v>
      </c>
      <c r="U25" s="52">
        <v>0</v>
      </c>
      <c r="V25" s="66" t="s">
        <v>24</v>
      </c>
      <c r="W25" s="67" t="s">
        <v>22</v>
      </c>
    </row>
    <row r="26" spans="1:23" ht="12" customHeight="1">
      <c r="A26" s="175" t="s">
        <v>25</v>
      </c>
      <c r="B26" s="157"/>
      <c r="C26" s="69"/>
      <c r="D26" s="69"/>
      <c r="E26" s="70">
        <f>SUM(E8:E25)</f>
        <v>10100</v>
      </c>
      <c r="F26" s="71"/>
      <c r="G26" s="72">
        <f t="shared" ref="G26:I26" si="3">SUM(G8:G25)</f>
        <v>2550</v>
      </c>
      <c r="H26" s="51">
        <f t="shared" si="3"/>
        <v>1880</v>
      </c>
      <c r="I26" s="51">
        <f t="shared" si="3"/>
        <v>1462.5</v>
      </c>
      <c r="J26" s="69"/>
      <c r="K26" s="73"/>
      <c r="L26" s="174"/>
      <c r="M26" s="73"/>
      <c r="N26" s="74"/>
      <c r="O26" s="55">
        <f>SUM(O8:O25)</f>
        <v>1040</v>
      </c>
      <c r="P26" s="72">
        <f t="shared" ref="P26:Q26" si="4">SUM(P8:P25)</f>
        <v>1855</v>
      </c>
      <c r="Q26" s="55">
        <f t="shared" si="4"/>
        <v>2147.5</v>
      </c>
      <c r="R26" s="55"/>
      <c r="S26" s="75">
        <f>SUM(S8:S25)</f>
        <v>7900</v>
      </c>
      <c r="T26" s="75"/>
      <c r="U26" s="72"/>
      <c r="V26" s="73"/>
      <c r="W26" s="76"/>
    </row>
    <row r="27" spans="1:23" ht="12" customHeight="1">
      <c r="A27" s="77" t="s">
        <v>26</v>
      </c>
      <c r="B27" s="69"/>
      <c r="C27" s="69"/>
      <c r="D27" s="69"/>
      <c r="E27" s="69"/>
      <c r="F27" s="71"/>
      <c r="G27" s="78"/>
      <c r="H27" s="79"/>
      <c r="I27" s="79"/>
      <c r="J27" s="69"/>
      <c r="K27" s="80"/>
      <c r="L27" s="80"/>
      <c r="M27" s="80" t="s">
        <v>103</v>
      </c>
      <c r="N27" s="74"/>
      <c r="O27" s="80"/>
      <c r="P27" s="80"/>
      <c r="Q27" s="80"/>
      <c r="R27" s="78"/>
      <c r="S27" s="80"/>
      <c r="T27" s="80"/>
      <c r="U27" s="79"/>
      <c r="V27" s="80"/>
      <c r="W27" s="76"/>
    </row>
    <row r="28" spans="1:23" ht="12" customHeight="1" thickBot="1">
      <c r="A28" s="176"/>
      <c r="B28" s="177"/>
      <c r="C28" s="81"/>
      <c r="D28" s="81"/>
      <c r="E28" s="81"/>
      <c r="F28" s="82"/>
      <c r="G28" s="83"/>
      <c r="H28" s="84"/>
      <c r="I28" s="85"/>
      <c r="J28" s="81"/>
      <c r="K28" s="86"/>
      <c r="L28" s="86"/>
      <c r="M28" s="86"/>
      <c r="N28" s="87"/>
      <c r="O28" s="86"/>
      <c r="P28" s="86"/>
      <c r="Q28" s="86"/>
      <c r="R28" s="88"/>
      <c r="S28" s="86"/>
      <c r="T28" s="86"/>
      <c r="U28" s="84"/>
      <c r="V28" s="86"/>
      <c r="W28" s="89"/>
    </row>
    <row r="29" spans="1:23" ht="12" customHeight="1" thickTop="1">
      <c r="A29" s="90"/>
      <c r="B29" s="7"/>
      <c r="C29" s="7"/>
      <c r="D29" s="7"/>
      <c r="E29" s="7"/>
      <c r="F29" s="91"/>
      <c r="G29" s="20"/>
      <c r="J29" s="7"/>
      <c r="N29" s="8"/>
      <c r="O29" s="92"/>
      <c r="P29" s="92"/>
      <c r="Q29" s="92"/>
      <c r="V29" s="178"/>
      <c r="W29" s="179"/>
    </row>
    <row r="30" spans="1:23" ht="12" customHeight="1">
      <c r="A30" s="151" t="s">
        <v>27</v>
      </c>
      <c r="B30" s="93"/>
      <c r="C30" s="93"/>
      <c r="D30" s="93"/>
      <c r="E30" s="93"/>
      <c r="F30" s="94"/>
      <c r="G30" s="95"/>
      <c r="H30" s="93"/>
      <c r="I30" s="180" t="s">
        <v>16</v>
      </c>
      <c r="J30" s="164"/>
      <c r="K30" s="180" t="s">
        <v>17</v>
      </c>
      <c r="L30" s="164"/>
      <c r="M30" s="180" t="s">
        <v>18</v>
      </c>
      <c r="N30" s="162"/>
      <c r="O30" s="164"/>
      <c r="P30" s="66"/>
      <c r="Q30" s="42"/>
      <c r="R30" s="96"/>
      <c r="S30" s="97" t="s">
        <v>28</v>
      </c>
      <c r="T30" s="97"/>
      <c r="U30" s="97"/>
      <c r="V30" s="42"/>
      <c r="W30" s="98"/>
    </row>
    <row r="31" spans="1:23" ht="12" customHeight="1">
      <c r="A31" s="150" t="s">
        <v>67</v>
      </c>
      <c r="G31" s="99" t="s">
        <v>29</v>
      </c>
      <c r="H31" s="100"/>
      <c r="I31" s="165">
        <f>G26+O26</f>
        <v>3590</v>
      </c>
      <c r="J31" s="166"/>
      <c r="K31" s="165">
        <f>H26+P26</f>
        <v>3735</v>
      </c>
      <c r="L31" s="166"/>
      <c r="M31" s="165">
        <f>I26+Q26</f>
        <v>3610</v>
      </c>
      <c r="N31" s="167"/>
      <c r="O31" s="166"/>
      <c r="P31" s="158"/>
      <c r="Q31" s="157"/>
      <c r="R31" s="96"/>
      <c r="S31" s="168" t="s">
        <v>68</v>
      </c>
      <c r="T31" s="169"/>
      <c r="U31" s="169"/>
      <c r="V31" s="169"/>
      <c r="W31" s="170"/>
    </row>
    <row r="32" spans="1:23" ht="12" customHeight="1">
      <c r="A32" s="15"/>
      <c r="G32" s="171" t="s">
        <v>30</v>
      </c>
      <c r="H32" s="157"/>
      <c r="I32" s="102"/>
      <c r="J32" s="103"/>
      <c r="K32" s="104"/>
      <c r="L32" s="103"/>
      <c r="M32" s="104"/>
      <c r="N32" s="105"/>
      <c r="O32" s="103"/>
      <c r="P32" s="160">
        <v>500</v>
      </c>
      <c r="Q32" s="157"/>
      <c r="R32" s="96"/>
      <c r="S32" s="107"/>
      <c r="T32" s="107"/>
      <c r="U32" s="107"/>
      <c r="V32" s="108"/>
      <c r="W32" s="76"/>
    </row>
    <row r="33" spans="1:23" ht="12" customHeight="1">
      <c r="A33" s="109" t="s">
        <v>31</v>
      </c>
      <c r="G33" s="99" t="s">
        <v>32</v>
      </c>
      <c r="H33" s="100"/>
      <c r="I33" s="110"/>
      <c r="J33" s="42"/>
      <c r="K33" s="66"/>
      <c r="L33" s="42"/>
      <c r="M33" s="66"/>
      <c r="N33" s="111"/>
      <c r="O33" s="42"/>
      <c r="P33" s="156">
        <f>I31+K31+M31+P32</f>
        <v>11435</v>
      </c>
      <c r="Q33" s="157"/>
      <c r="R33" s="96" t="s">
        <v>33</v>
      </c>
      <c r="S33" s="42"/>
      <c r="T33" s="42"/>
      <c r="U33" s="42"/>
      <c r="V33" s="108"/>
      <c r="W33" s="76"/>
    </row>
    <row r="34" spans="1:23" ht="12" customHeight="1">
      <c r="A34" s="15" t="s">
        <v>42</v>
      </c>
      <c r="G34" s="99" t="s">
        <v>34</v>
      </c>
      <c r="H34" s="100"/>
      <c r="I34" s="158"/>
      <c r="J34" s="157"/>
      <c r="K34" s="158"/>
      <c r="L34" s="157"/>
      <c r="M34" s="158"/>
      <c r="N34" s="159"/>
      <c r="O34" s="157"/>
      <c r="P34" s="160">
        <v>0.8</v>
      </c>
      <c r="Q34" s="157"/>
      <c r="R34" s="96" t="s">
        <v>35</v>
      </c>
      <c r="S34" s="42"/>
      <c r="T34" s="42"/>
      <c r="U34" s="42"/>
      <c r="V34" s="108"/>
      <c r="W34" s="76"/>
    </row>
    <row r="35" spans="1:23" ht="12" customHeight="1">
      <c r="A35" s="15"/>
      <c r="G35" s="161" t="s">
        <v>36</v>
      </c>
      <c r="H35" s="162"/>
      <c r="I35" s="162"/>
      <c r="J35" s="112"/>
      <c r="K35" s="113"/>
      <c r="L35" s="112"/>
      <c r="M35" s="113"/>
      <c r="N35" s="114"/>
      <c r="O35" s="112"/>
      <c r="P35" s="163">
        <f>P33/P34</f>
        <v>14293.75</v>
      </c>
      <c r="Q35" s="164"/>
      <c r="R35" s="115" t="s">
        <v>37</v>
      </c>
      <c r="S35" s="112"/>
      <c r="T35" s="112"/>
      <c r="U35" s="112"/>
      <c r="V35" s="116"/>
      <c r="W35" s="56"/>
    </row>
    <row r="36" spans="1:23" ht="12" customHeight="1" thickBot="1">
      <c r="A36" s="117"/>
      <c r="B36" s="118"/>
      <c r="C36" s="118"/>
      <c r="D36" s="118"/>
      <c r="E36" s="118"/>
      <c r="F36" s="119"/>
      <c r="G36" s="120" t="s">
        <v>38</v>
      </c>
      <c r="H36" s="121"/>
      <c r="I36" s="152"/>
      <c r="J36" s="153"/>
      <c r="K36" s="152"/>
      <c r="L36" s="153"/>
      <c r="M36" s="152"/>
      <c r="N36" s="154"/>
      <c r="O36" s="153"/>
      <c r="P36" s="155">
        <f>ROUNDUP(P33/575,1)</f>
        <v>19.900000000000002</v>
      </c>
      <c r="Q36" s="153"/>
      <c r="R36" s="122" t="s">
        <v>39</v>
      </c>
      <c r="S36" s="123"/>
      <c r="T36" s="123"/>
      <c r="U36" s="123"/>
      <c r="V36" s="124"/>
      <c r="W36" s="125"/>
    </row>
    <row r="37" spans="1:23" ht="12" customHeight="1">
      <c r="A37" s="18"/>
      <c r="G37" s="20"/>
      <c r="J37" s="7"/>
      <c r="N37" s="8"/>
      <c r="R37" s="126"/>
      <c r="W37" s="21"/>
    </row>
    <row r="38" spans="1:23" ht="12" customHeight="1" thickBot="1">
      <c r="A38" s="117"/>
      <c r="B38" s="118"/>
      <c r="C38" s="118"/>
      <c r="D38" s="118"/>
      <c r="E38" s="118"/>
      <c r="F38" s="119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9"/>
      <c r="S38" s="118"/>
      <c r="T38" s="118"/>
      <c r="U38" s="118"/>
      <c r="V38" s="118"/>
      <c r="W38" s="127"/>
    </row>
    <row r="39" spans="1:23" ht="12" customHeight="1"/>
    <row r="40" spans="1:23" ht="12" customHeight="1"/>
    <row r="41" spans="1:23" ht="12" customHeight="1"/>
    <row r="42" spans="1:23" ht="34.5" customHeight="1">
      <c r="C42" s="128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20"/>
      <c r="J49" s="7"/>
      <c r="N49" s="8"/>
      <c r="R49" s="126"/>
    </row>
    <row r="50" spans="7:18">
      <c r="G50" s="20"/>
      <c r="J50" s="7"/>
      <c r="N50" s="8"/>
      <c r="R50" s="126"/>
    </row>
    <row r="51" spans="7:18">
      <c r="G51" s="20"/>
      <c r="J51" s="7"/>
      <c r="N51" s="8"/>
      <c r="R51" s="126"/>
    </row>
    <row r="52" spans="7:18">
      <c r="G52" s="20"/>
      <c r="J52" s="7"/>
      <c r="N52" s="8"/>
      <c r="R52" s="126"/>
    </row>
    <row r="53" spans="7:18">
      <c r="G53" s="20"/>
      <c r="J53" s="7"/>
      <c r="N53" s="8"/>
      <c r="R53" s="126"/>
    </row>
    <row r="54" spans="7:18">
      <c r="G54" s="20"/>
      <c r="J54" s="7"/>
      <c r="N54" s="8"/>
      <c r="R54" s="126"/>
    </row>
    <row r="55" spans="7:18">
      <c r="G55" s="20"/>
      <c r="J55" s="7"/>
      <c r="N55" s="8"/>
      <c r="R55" s="126"/>
    </row>
    <row r="56" spans="7:18">
      <c r="G56" s="20"/>
      <c r="J56" s="7"/>
      <c r="N56" s="8"/>
      <c r="R56" s="126"/>
    </row>
    <row r="57" spans="7:18">
      <c r="G57" s="20"/>
      <c r="J57" s="7"/>
      <c r="N57" s="8"/>
      <c r="R57" s="126"/>
    </row>
    <row r="58" spans="7:18">
      <c r="G58" s="20"/>
      <c r="J58" s="7"/>
      <c r="N58" s="8"/>
      <c r="R58" s="126"/>
    </row>
    <row r="59" spans="7:18">
      <c r="G59" s="20"/>
      <c r="J59" s="7"/>
      <c r="N59" s="8"/>
      <c r="R59" s="126"/>
    </row>
    <row r="60" spans="7:18">
      <c r="G60" s="20"/>
      <c r="J60" s="7"/>
      <c r="N60" s="8"/>
      <c r="R60" s="126"/>
    </row>
    <row r="61" spans="7:18">
      <c r="G61" s="20"/>
      <c r="J61" s="7"/>
      <c r="N61" s="8"/>
      <c r="R61" s="126"/>
    </row>
    <row r="62" spans="7:18">
      <c r="G62" s="20"/>
      <c r="J62" s="7"/>
      <c r="N62" s="8"/>
      <c r="R62" s="126"/>
    </row>
    <row r="63" spans="7:18">
      <c r="G63" s="20"/>
      <c r="J63" s="7"/>
      <c r="N63" s="8"/>
      <c r="R63" s="126"/>
    </row>
    <row r="64" spans="7:18">
      <c r="G64" s="20"/>
      <c r="J64" s="7"/>
      <c r="N64" s="8"/>
      <c r="R64" s="126"/>
    </row>
    <row r="65" spans="7:18">
      <c r="G65" s="20"/>
      <c r="J65" s="7"/>
      <c r="N65" s="8"/>
      <c r="R65" s="126"/>
    </row>
    <row r="66" spans="7:18">
      <c r="G66" s="20"/>
      <c r="J66" s="7"/>
      <c r="N66" s="8"/>
      <c r="R66" s="126"/>
    </row>
    <row r="67" spans="7:18">
      <c r="G67" s="20"/>
      <c r="J67" s="7"/>
      <c r="N67" s="8"/>
      <c r="R67" s="126"/>
    </row>
    <row r="68" spans="7:18">
      <c r="G68" s="20"/>
      <c r="J68" s="7"/>
      <c r="N68" s="8"/>
      <c r="R68" s="126"/>
    </row>
    <row r="69" spans="7:18">
      <c r="G69" s="20"/>
      <c r="J69" s="7"/>
      <c r="N69" s="8"/>
      <c r="R69" s="126"/>
    </row>
    <row r="70" spans="7:18">
      <c r="G70" s="20"/>
      <c r="J70" s="7"/>
      <c r="N70" s="8"/>
      <c r="R70" s="126"/>
    </row>
    <row r="71" spans="7:18">
      <c r="G71" s="20"/>
      <c r="J71" s="7"/>
      <c r="N71" s="8"/>
      <c r="R71" s="126"/>
    </row>
    <row r="72" spans="7:18">
      <c r="G72" s="20"/>
      <c r="J72" s="7"/>
      <c r="N72" s="8"/>
      <c r="R72" s="126"/>
    </row>
    <row r="73" spans="7:18">
      <c r="G73" s="20"/>
      <c r="J73" s="7"/>
      <c r="N73" s="8"/>
      <c r="R73" s="126"/>
    </row>
    <row r="74" spans="7:18">
      <c r="G74" s="20"/>
      <c r="J74" s="7"/>
      <c r="N74" s="8"/>
      <c r="R74" s="126"/>
    </row>
    <row r="75" spans="7:18">
      <c r="G75" s="20"/>
      <c r="J75" s="7"/>
      <c r="N75" s="8"/>
      <c r="R75" s="126"/>
    </row>
    <row r="76" spans="7:18">
      <c r="G76" s="20"/>
      <c r="J76" s="7"/>
      <c r="N76" s="8"/>
      <c r="R76" s="126"/>
    </row>
    <row r="77" spans="7:18">
      <c r="G77" s="20"/>
      <c r="J77" s="7"/>
      <c r="N77" s="8"/>
      <c r="R77" s="126"/>
    </row>
    <row r="78" spans="7:18">
      <c r="G78" s="20"/>
      <c r="J78" s="7"/>
      <c r="N78" s="8"/>
      <c r="R78" s="126"/>
    </row>
    <row r="79" spans="7:18">
      <c r="G79" s="20"/>
      <c r="J79" s="7"/>
      <c r="N79" s="8"/>
      <c r="R79" s="126"/>
    </row>
    <row r="80" spans="7:18">
      <c r="G80" s="20"/>
      <c r="J80" s="7"/>
      <c r="N80" s="8"/>
      <c r="R80" s="126"/>
    </row>
    <row r="81" spans="7:18">
      <c r="G81" s="20"/>
      <c r="J81" s="7"/>
      <c r="N81" s="8"/>
      <c r="R81" s="126"/>
    </row>
    <row r="82" spans="7:18">
      <c r="G82" s="20"/>
      <c r="J82" s="7"/>
      <c r="N82" s="8"/>
      <c r="R82" s="126"/>
    </row>
    <row r="83" spans="7:18">
      <c r="G83" s="20"/>
      <c r="J83" s="7"/>
      <c r="N83" s="8"/>
      <c r="R83" s="126"/>
    </row>
    <row r="84" spans="7:18">
      <c r="G84" s="20"/>
      <c r="J84" s="7"/>
      <c r="N84" s="8"/>
      <c r="R84" s="126"/>
    </row>
    <row r="85" spans="7:18">
      <c r="G85" s="20"/>
      <c r="J85" s="7"/>
      <c r="N85" s="8"/>
      <c r="R85" s="126"/>
    </row>
    <row r="86" spans="7:18">
      <c r="G86" s="20"/>
      <c r="J86" s="7"/>
      <c r="N86" s="8"/>
      <c r="R86" s="126"/>
    </row>
    <row r="87" spans="7:18">
      <c r="G87" s="20"/>
      <c r="J87" s="7"/>
      <c r="N87" s="8"/>
      <c r="R87" s="126"/>
    </row>
    <row r="88" spans="7:18">
      <c r="G88" s="20"/>
      <c r="J88" s="7"/>
      <c r="N88" s="8"/>
      <c r="R88" s="126"/>
    </row>
    <row r="89" spans="7:18">
      <c r="G89" s="20"/>
      <c r="J89" s="7"/>
      <c r="N89" s="8"/>
      <c r="R89" s="126"/>
    </row>
    <row r="90" spans="7:18">
      <c r="G90" s="20"/>
      <c r="J90" s="7"/>
      <c r="N90" s="8"/>
      <c r="R90" s="126"/>
    </row>
    <row r="91" spans="7:18">
      <c r="G91" s="20"/>
      <c r="J91" s="7"/>
      <c r="N91" s="8"/>
      <c r="R91" s="126"/>
    </row>
    <row r="92" spans="7:18">
      <c r="G92" s="20"/>
      <c r="J92" s="7"/>
      <c r="N92" s="8"/>
      <c r="R92" s="126"/>
    </row>
    <row r="93" spans="7:18">
      <c r="G93" s="20"/>
      <c r="J93" s="7"/>
      <c r="N93" s="8"/>
      <c r="R93" s="126"/>
    </row>
    <row r="94" spans="7:18">
      <c r="G94" s="20"/>
      <c r="J94" s="7"/>
      <c r="N94" s="8"/>
      <c r="R94" s="126"/>
    </row>
    <row r="95" spans="7:18">
      <c r="G95" s="20"/>
      <c r="J95" s="7"/>
      <c r="N95" s="8"/>
      <c r="R95" s="126"/>
    </row>
    <row r="96" spans="7:18">
      <c r="G96" s="20"/>
      <c r="J96" s="7"/>
      <c r="N96" s="8"/>
      <c r="R96" s="126"/>
    </row>
    <row r="97" spans="7:18">
      <c r="G97" s="20"/>
      <c r="J97" s="7"/>
      <c r="N97" s="8"/>
      <c r="R97" s="126"/>
    </row>
    <row r="98" spans="7:18">
      <c r="G98" s="20"/>
      <c r="J98" s="7"/>
      <c r="N98" s="8"/>
      <c r="R98" s="126"/>
    </row>
    <row r="99" spans="7:18">
      <c r="G99" s="20"/>
      <c r="J99" s="7"/>
      <c r="N99" s="8"/>
      <c r="R99" s="126"/>
    </row>
    <row r="100" spans="7:18">
      <c r="G100" s="20"/>
      <c r="J100" s="7"/>
      <c r="N100" s="8"/>
      <c r="R100" s="126"/>
    </row>
  </sheetData>
  <mergeCells count="33"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  <mergeCell ref="G32:H32"/>
    <mergeCell ref="P32:Q32"/>
    <mergeCell ref="L8:L26"/>
    <mergeCell ref="A26:B26"/>
    <mergeCell ref="A28:B28"/>
    <mergeCell ref="I31:J31"/>
    <mergeCell ref="K31:L31"/>
    <mergeCell ref="M31:O31"/>
    <mergeCell ref="P31:Q31"/>
    <mergeCell ref="S31:W31"/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B1" workbookViewId="0">
      <selection activeCell="Q3" sqref="Q3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9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9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4" ht="12" customHeight="1">
      <c r="A1" s="181" t="s">
        <v>122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3"/>
    </row>
    <row r="2" spans="1:24" ht="12" customHeight="1">
      <c r="A2" s="2" t="s">
        <v>0</v>
      </c>
      <c r="B2" s="184" t="s">
        <v>44</v>
      </c>
      <c r="C2" s="159"/>
      <c r="D2" s="159"/>
      <c r="E2" s="3"/>
      <c r="F2" s="4"/>
      <c r="G2" s="5"/>
      <c r="H2" s="6"/>
      <c r="I2" s="6"/>
      <c r="J2" s="7"/>
      <c r="K2" s="6"/>
      <c r="L2" s="6"/>
      <c r="M2" s="6"/>
      <c r="N2" s="8"/>
      <c r="O2" s="6"/>
      <c r="P2" s="9" t="s">
        <v>1</v>
      </c>
      <c r="Q2" s="138" t="s">
        <v>43</v>
      </c>
      <c r="R2" s="4"/>
      <c r="S2" s="3"/>
      <c r="T2" s="3"/>
      <c r="U2" s="3"/>
      <c r="V2" s="10"/>
      <c r="W2" s="11"/>
    </row>
    <row r="3" spans="1:24" ht="12" customHeight="1">
      <c r="A3" s="2" t="s">
        <v>2</v>
      </c>
      <c r="B3" s="184" t="s">
        <v>3</v>
      </c>
      <c r="C3" s="159"/>
      <c r="D3" s="159"/>
      <c r="E3" s="3"/>
      <c r="F3" s="4"/>
      <c r="G3" s="5"/>
      <c r="H3" s="3"/>
      <c r="I3" s="3"/>
      <c r="J3" s="12"/>
      <c r="K3" s="3"/>
      <c r="L3" s="3"/>
      <c r="M3" s="3"/>
      <c r="N3" s="13"/>
      <c r="O3" s="3"/>
      <c r="P3" s="9" t="s">
        <v>4</v>
      </c>
      <c r="Q3" s="3" t="s">
        <v>123</v>
      </c>
      <c r="R3" s="4"/>
      <c r="S3" s="3"/>
      <c r="T3" s="3"/>
      <c r="U3" s="3"/>
      <c r="V3" s="3"/>
      <c r="W3" s="14"/>
    </row>
    <row r="4" spans="1:24" ht="12" customHeight="1">
      <c r="A4" s="15" t="s">
        <v>5</v>
      </c>
      <c r="B4" s="185"/>
      <c r="C4" s="162"/>
      <c r="D4" s="162"/>
      <c r="E4" s="16"/>
      <c r="F4" s="17"/>
      <c r="G4" s="17"/>
      <c r="H4" s="6"/>
      <c r="I4" s="6"/>
      <c r="J4" s="7"/>
      <c r="K4" s="6"/>
      <c r="L4" s="6"/>
      <c r="M4" s="6"/>
      <c r="N4" s="8"/>
      <c r="O4" s="6"/>
      <c r="P4" s="6" t="s">
        <v>6</v>
      </c>
      <c r="Q4" s="185" t="s">
        <v>7</v>
      </c>
      <c r="R4" s="162"/>
      <c r="S4" s="6"/>
      <c r="T4" s="6"/>
      <c r="U4" s="6"/>
      <c r="V4" s="6"/>
      <c r="W4" s="11"/>
    </row>
    <row r="5" spans="1:24" ht="12" customHeight="1">
      <c r="A5" s="18"/>
      <c r="G5" s="20"/>
      <c r="J5" s="7"/>
      <c r="N5" s="8"/>
      <c r="W5" s="21"/>
    </row>
    <row r="6" spans="1:24" ht="34.5" customHeight="1" thickBot="1">
      <c r="A6" s="22" t="s">
        <v>8</v>
      </c>
      <c r="B6" s="23" t="s">
        <v>9</v>
      </c>
      <c r="C6" s="23" t="s">
        <v>10</v>
      </c>
      <c r="D6" s="24" t="s">
        <v>11</v>
      </c>
      <c r="E6" s="24" t="s">
        <v>12</v>
      </c>
      <c r="F6" s="25" t="s">
        <v>13</v>
      </c>
      <c r="G6" s="186" t="s">
        <v>14</v>
      </c>
      <c r="H6" s="187"/>
      <c r="I6" s="188"/>
      <c r="J6" s="189" t="s">
        <v>15</v>
      </c>
      <c r="K6" s="190"/>
      <c r="L6" s="190"/>
      <c r="M6" s="190"/>
      <c r="N6" s="191"/>
      <c r="O6" s="186" t="s">
        <v>14</v>
      </c>
      <c r="P6" s="187"/>
      <c r="Q6" s="188"/>
      <c r="R6" s="25" t="s">
        <v>13</v>
      </c>
      <c r="S6" s="24" t="s">
        <v>12</v>
      </c>
      <c r="T6" s="24" t="s">
        <v>11</v>
      </c>
      <c r="U6" s="23" t="s">
        <v>10</v>
      </c>
      <c r="V6" s="23" t="s">
        <v>9</v>
      </c>
      <c r="W6" s="26" t="s">
        <v>8</v>
      </c>
    </row>
    <row r="7" spans="1:24" ht="12" customHeight="1" thickTop="1">
      <c r="A7" s="27"/>
      <c r="B7" s="28"/>
      <c r="C7" s="29"/>
      <c r="D7" s="29"/>
      <c r="E7" s="29"/>
      <c r="F7" s="30"/>
      <c r="G7" s="31" t="s">
        <v>16</v>
      </c>
      <c r="H7" s="32" t="s">
        <v>17</v>
      </c>
      <c r="I7" s="32" t="s">
        <v>18</v>
      </c>
      <c r="J7" s="33"/>
      <c r="K7" s="34"/>
      <c r="L7" s="35"/>
      <c r="M7" s="35"/>
      <c r="N7" s="36"/>
      <c r="O7" s="37" t="s">
        <v>16</v>
      </c>
      <c r="P7" s="32" t="s">
        <v>17</v>
      </c>
      <c r="Q7" s="38" t="s">
        <v>18</v>
      </c>
      <c r="R7" s="39"/>
      <c r="S7" s="40"/>
      <c r="T7" s="40"/>
      <c r="U7" s="40"/>
      <c r="V7" s="28"/>
      <c r="W7" s="41"/>
    </row>
    <row r="8" spans="1:24" ht="12" customHeight="1">
      <c r="A8" s="129" t="s">
        <v>106</v>
      </c>
      <c r="B8" s="130" t="s">
        <v>21</v>
      </c>
      <c r="C8" s="131">
        <v>15</v>
      </c>
      <c r="D8" s="53">
        <v>100</v>
      </c>
      <c r="E8" s="44">
        <f t="shared" ref="E8:E25" si="0">C8*D8</f>
        <v>1500</v>
      </c>
      <c r="F8" s="45">
        <v>0.45</v>
      </c>
      <c r="G8" s="46">
        <f>E8*F8</f>
        <v>675</v>
      </c>
      <c r="H8" s="43"/>
      <c r="I8" s="47"/>
      <c r="J8" s="48">
        <v>1</v>
      </c>
      <c r="K8" s="49">
        <v>10</v>
      </c>
      <c r="L8" s="172"/>
      <c r="M8" s="49">
        <v>20</v>
      </c>
      <c r="N8" s="50">
        <v>10</v>
      </c>
      <c r="O8" s="51">
        <f>S8*R8</f>
        <v>680</v>
      </c>
      <c r="P8" s="51"/>
      <c r="R8" s="133">
        <v>0.8</v>
      </c>
      <c r="S8" s="134">
        <f t="shared" ref="S8:S25" si="1">T8*U8</f>
        <v>850</v>
      </c>
      <c r="T8" s="135">
        <v>850</v>
      </c>
      <c r="U8" s="134">
        <v>1</v>
      </c>
      <c r="V8" s="136" t="s">
        <v>19</v>
      </c>
      <c r="W8" s="137" t="s">
        <v>114</v>
      </c>
    </row>
    <row r="9" spans="1:24" ht="12" customHeight="1">
      <c r="A9" s="147" t="s">
        <v>107</v>
      </c>
      <c r="B9" s="136" t="s">
        <v>19</v>
      </c>
      <c r="C9" s="148">
        <v>1</v>
      </c>
      <c r="D9" s="135">
        <v>1500</v>
      </c>
      <c r="E9" s="149">
        <f t="shared" si="0"/>
        <v>1500</v>
      </c>
      <c r="F9" s="133">
        <v>0.8</v>
      </c>
      <c r="G9" s="55"/>
      <c r="H9" s="55">
        <f>E9*F9</f>
        <v>1200</v>
      </c>
      <c r="J9" s="48">
        <v>2</v>
      </c>
      <c r="K9" s="49">
        <v>20</v>
      </c>
      <c r="L9" s="173"/>
      <c r="M9" s="49">
        <v>10</v>
      </c>
      <c r="N9" s="50">
        <v>11</v>
      </c>
      <c r="P9" s="55">
        <f>S9*R9</f>
        <v>495</v>
      </c>
      <c r="Q9" s="55"/>
      <c r="R9" s="45">
        <v>0.45</v>
      </c>
      <c r="S9" s="52">
        <f t="shared" si="1"/>
        <v>1100</v>
      </c>
      <c r="T9" s="53">
        <v>100</v>
      </c>
      <c r="U9" s="43">
        <v>11</v>
      </c>
      <c r="V9" s="140" t="s">
        <v>21</v>
      </c>
      <c r="W9" s="144" t="s">
        <v>115</v>
      </c>
    </row>
    <row r="10" spans="1:24" ht="12" customHeight="1">
      <c r="A10" s="129" t="s">
        <v>108</v>
      </c>
      <c r="B10" s="130" t="s">
        <v>21</v>
      </c>
      <c r="C10" s="131">
        <v>1</v>
      </c>
      <c r="D10" s="53">
        <v>1000</v>
      </c>
      <c r="E10" s="44">
        <f t="shared" si="0"/>
        <v>1000</v>
      </c>
      <c r="F10" s="45">
        <v>0.45</v>
      </c>
      <c r="G10" s="55"/>
      <c r="I10" s="55">
        <f>E10*F10</f>
        <v>450</v>
      </c>
      <c r="J10" s="48">
        <v>3</v>
      </c>
      <c r="K10" s="49">
        <v>10</v>
      </c>
      <c r="L10" s="173"/>
      <c r="M10" s="49">
        <v>10</v>
      </c>
      <c r="N10" s="50">
        <v>12</v>
      </c>
      <c r="O10" s="57"/>
      <c r="Q10" s="55">
        <f>S10*R10</f>
        <v>450</v>
      </c>
      <c r="R10" s="45">
        <v>0.45</v>
      </c>
      <c r="S10" s="52">
        <f t="shared" si="1"/>
        <v>1000</v>
      </c>
      <c r="T10" s="53">
        <v>100</v>
      </c>
      <c r="U10" s="43">
        <v>10</v>
      </c>
      <c r="V10" s="140" t="s">
        <v>21</v>
      </c>
      <c r="W10" s="144" t="s">
        <v>116</v>
      </c>
    </row>
    <row r="11" spans="1:24" ht="12" customHeight="1">
      <c r="A11" s="147" t="s">
        <v>109</v>
      </c>
      <c r="B11" s="136" t="s">
        <v>19</v>
      </c>
      <c r="C11" s="148">
        <v>1</v>
      </c>
      <c r="D11" s="135">
        <v>1500</v>
      </c>
      <c r="E11" s="149">
        <f t="shared" si="0"/>
        <v>1500</v>
      </c>
      <c r="F11" s="133">
        <v>0.8</v>
      </c>
      <c r="G11" s="55">
        <f>E11*F11</f>
        <v>1200</v>
      </c>
      <c r="H11" s="57"/>
      <c r="J11" s="48">
        <v>4</v>
      </c>
      <c r="K11" s="49">
        <v>20</v>
      </c>
      <c r="L11" s="173"/>
      <c r="M11" s="49">
        <v>10</v>
      </c>
      <c r="N11" s="50">
        <v>13</v>
      </c>
      <c r="O11" s="51">
        <f>S11*R11</f>
        <v>360</v>
      </c>
      <c r="P11" s="51"/>
      <c r="R11" s="45">
        <v>0.45</v>
      </c>
      <c r="S11" s="52">
        <f t="shared" si="1"/>
        <v>800</v>
      </c>
      <c r="T11" s="53">
        <v>100</v>
      </c>
      <c r="U11" s="43">
        <v>8</v>
      </c>
      <c r="V11" s="139" t="s">
        <v>21</v>
      </c>
      <c r="W11" s="143" t="s">
        <v>117</v>
      </c>
    </row>
    <row r="12" spans="1:24" ht="12" customHeight="1">
      <c r="A12" s="194" t="s">
        <v>110</v>
      </c>
      <c r="B12" s="193" t="s">
        <v>19</v>
      </c>
      <c r="C12" s="43">
        <v>1</v>
      </c>
      <c r="D12" s="63">
        <v>850</v>
      </c>
      <c r="E12" s="44">
        <f t="shared" si="0"/>
        <v>850</v>
      </c>
      <c r="F12" s="45">
        <v>0.8</v>
      </c>
      <c r="G12" s="58"/>
      <c r="H12" s="55">
        <f>E12*F12</f>
        <v>680</v>
      </c>
      <c r="I12" s="59"/>
      <c r="J12" s="48">
        <v>5</v>
      </c>
      <c r="K12" s="49">
        <v>20</v>
      </c>
      <c r="L12" s="173"/>
      <c r="M12" s="49">
        <v>20</v>
      </c>
      <c r="N12" s="50">
        <v>14</v>
      </c>
      <c r="O12" s="51"/>
      <c r="P12" s="51">
        <f>R12*S12</f>
        <v>680</v>
      </c>
      <c r="Q12" s="59"/>
      <c r="R12" s="133">
        <v>0.8</v>
      </c>
      <c r="S12" s="134">
        <f t="shared" si="1"/>
        <v>850</v>
      </c>
      <c r="T12" s="135">
        <v>850</v>
      </c>
      <c r="U12" s="134">
        <v>1</v>
      </c>
      <c r="V12" s="141" t="s">
        <v>19</v>
      </c>
      <c r="W12" s="144" t="s">
        <v>118</v>
      </c>
    </row>
    <row r="13" spans="1:24" ht="12" customHeight="1">
      <c r="A13" s="62" t="s">
        <v>111</v>
      </c>
      <c r="B13" s="42" t="s">
        <v>23</v>
      </c>
      <c r="C13" s="43">
        <v>4</v>
      </c>
      <c r="D13" s="63">
        <v>250</v>
      </c>
      <c r="E13" s="44">
        <f t="shared" si="0"/>
        <v>1000</v>
      </c>
      <c r="F13" s="45">
        <v>0.45</v>
      </c>
      <c r="I13" s="55">
        <f>E13*F13</f>
        <v>450</v>
      </c>
      <c r="J13" s="48">
        <v>6</v>
      </c>
      <c r="K13" s="49">
        <v>30</v>
      </c>
      <c r="L13" s="173"/>
      <c r="M13" s="60">
        <v>30</v>
      </c>
      <c r="N13" s="50">
        <v>15</v>
      </c>
      <c r="P13" s="61"/>
      <c r="Q13" s="55">
        <f>S13*R13</f>
        <v>337.5</v>
      </c>
      <c r="R13" s="133">
        <v>0.45</v>
      </c>
      <c r="S13" s="134">
        <f t="shared" si="1"/>
        <v>750</v>
      </c>
      <c r="T13" s="135">
        <v>250</v>
      </c>
      <c r="U13" s="134">
        <v>3</v>
      </c>
      <c r="V13" s="42" t="s">
        <v>23</v>
      </c>
      <c r="W13" s="206" t="s">
        <v>119</v>
      </c>
      <c r="X13" s="200"/>
    </row>
    <row r="14" spans="1:24" ht="12" customHeight="1">
      <c r="A14" s="62" t="s">
        <v>112</v>
      </c>
      <c r="B14" s="42" t="s">
        <v>23</v>
      </c>
      <c r="C14" s="43">
        <v>6</v>
      </c>
      <c r="D14" s="63">
        <v>250</v>
      </c>
      <c r="E14" s="44">
        <f t="shared" si="0"/>
        <v>1500</v>
      </c>
      <c r="F14" s="45">
        <v>0.45</v>
      </c>
      <c r="G14" s="55">
        <f>E14*F14</f>
        <v>675</v>
      </c>
      <c r="H14" s="51"/>
      <c r="I14" s="51"/>
      <c r="J14" s="48">
        <v>7</v>
      </c>
      <c r="K14" s="49">
        <v>30</v>
      </c>
      <c r="L14" s="173"/>
      <c r="M14" s="60">
        <v>20</v>
      </c>
      <c r="N14" s="50">
        <v>16</v>
      </c>
      <c r="O14" s="51">
        <f>S14*R14</f>
        <v>0</v>
      </c>
      <c r="P14" s="59"/>
      <c r="Q14" s="51"/>
      <c r="R14" s="133">
        <v>0.8</v>
      </c>
      <c r="S14" s="134">
        <f t="shared" si="1"/>
        <v>0</v>
      </c>
      <c r="T14" s="135">
        <v>850</v>
      </c>
      <c r="U14" s="134">
        <v>0</v>
      </c>
      <c r="V14" s="136" t="s">
        <v>19</v>
      </c>
      <c r="W14" s="145" t="s">
        <v>22</v>
      </c>
    </row>
    <row r="15" spans="1:24" ht="12" customHeight="1">
      <c r="A15" s="194" t="s">
        <v>22</v>
      </c>
      <c r="B15" s="193" t="s">
        <v>19</v>
      </c>
      <c r="C15" s="43">
        <v>0</v>
      </c>
      <c r="D15" s="63">
        <v>850</v>
      </c>
      <c r="E15" s="44">
        <f t="shared" si="0"/>
        <v>0</v>
      </c>
      <c r="F15" s="45">
        <v>0.8</v>
      </c>
      <c r="G15" s="55"/>
      <c r="H15" s="51">
        <f>E15*F15</f>
        <v>0</v>
      </c>
      <c r="J15" s="48">
        <v>8</v>
      </c>
      <c r="K15" s="64">
        <v>20</v>
      </c>
      <c r="L15" s="173"/>
      <c r="M15" s="60">
        <v>20</v>
      </c>
      <c r="N15" s="50">
        <v>17</v>
      </c>
      <c r="P15" s="51">
        <f>S15*R15</f>
        <v>680</v>
      </c>
      <c r="Q15" s="51"/>
      <c r="R15" s="133">
        <v>0.8</v>
      </c>
      <c r="S15" s="134">
        <f t="shared" si="1"/>
        <v>850</v>
      </c>
      <c r="T15" s="135">
        <v>850</v>
      </c>
      <c r="U15" s="134">
        <v>1</v>
      </c>
      <c r="V15" s="136" t="s">
        <v>19</v>
      </c>
      <c r="W15" s="137" t="s">
        <v>120</v>
      </c>
    </row>
    <row r="16" spans="1:24" ht="12" customHeight="1">
      <c r="A16" s="62" t="s">
        <v>113</v>
      </c>
      <c r="B16" s="42" t="s">
        <v>23</v>
      </c>
      <c r="C16" s="43">
        <v>5</v>
      </c>
      <c r="D16" s="63">
        <v>250</v>
      </c>
      <c r="E16" s="44">
        <f t="shared" si="0"/>
        <v>1250</v>
      </c>
      <c r="F16" s="45">
        <v>0.45</v>
      </c>
      <c r="G16" s="55"/>
      <c r="I16" s="51">
        <f>E16*F16</f>
        <v>562.5</v>
      </c>
      <c r="J16" s="48">
        <v>9</v>
      </c>
      <c r="K16" s="64">
        <v>30</v>
      </c>
      <c r="L16" s="173"/>
      <c r="M16" s="60">
        <v>20</v>
      </c>
      <c r="N16" s="50">
        <v>18</v>
      </c>
      <c r="O16" s="51"/>
      <c r="P16" s="51"/>
      <c r="Q16" s="51">
        <f>R16*S16</f>
        <v>1360</v>
      </c>
      <c r="R16" s="133">
        <v>0.8</v>
      </c>
      <c r="S16" s="134">
        <f t="shared" si="1"/>
        <v>1700</v>
      </c>
      <c r="T16" s="135">
        <v>1700</v>
      </c>
      <c r="U16" s="134">
        <v>1</v>
      </c>
      <c r="V16" s="141" t="s">
        <v>19</v>
      </c>
      <c r="W16" s="144" t="s">
        <v>121</v>
      </c>
    </row>
    <row r="17" spans="1:23" ht="12" customHeight="1">
      <c r="A17" s="147" t="s">
        <v>22</v>
      </c>
      <c r="B17" s="136" t="s">
        <v>19</v>
      </c>
      <c r="C17" s="148">
        <v>0</v>
      </c>
      <c r="D17" s="135">
        <v>1500</v>
      </c>
      <c r="E17" s="149">
        <f t="shared" si="0"/>
        <v>0</v>
      </c>
      <c r="F17" s="133">
        <v>0.8</v>
      </c>
      <c r="G17" s="51">
        <f>F17*E17</f>
        <v>0</v>
      </c>
      <c r="H17" s="68"/>
      <c r="I17" s="51"/>
      <c r="J17" s="48"/>
      <c r="K17" s="64">
        <v>30</v>
      </c>
      <c r="L17" s="173"/>
      <c r="M17" s="60">
        <v>30</v>
      </c>
      <c r="N17" s="50"/>
      <c r="O17" s="51">
        <f>S17*R17</f>
        <v>0</v>
      </c>
      <c r="Q17" s="51"/>
      <c r="R17" s="133">
        <v>0.4</v>
      </c>
      <c r="S17" s="134">
        <f t="shared" si="1"/>
        <v>0</v>
      </c>
      <c r="T17" s="135">
        <v>3000</v>
      </c>
      <c r="U17" s="134">
        <v>0</v>
      </c>
      <c r="V17" s="141" t="s">
        <v>20</v>
      </c>
      <c r="W17" s="146" t="s">
        <v>22</v>
      </c>
    </row>
    <row r="18" spans="1:23" ht="12" customHeight="1">
      <c r="A18" s="147" t="s">
        <v>22</v>
      </c>
      <c r="B18" s="136" t="s">
        <v>19</v>
      </c>
      <c r="C18" s="148">
        <v>0</v>
      </c>
      <c r="D18" s="135">
        <v>1500</v>
      </c>
      <c r="E18" s="149">
        <f t="shared" si="0"/>
        <v>0</v>
      </c>
      <c r="F18" s="133">
        <v>0.8</v>
      </c>
      <c r="G18" s="55"/>
      <c r="H18" s="51">
        <f>E18*F18</f>
        <v>0</v>
      </c>
      <c r="J18" s="48"/>
      <c r="K18" s="64">
        <v>20</v>
      </c>
      <c r="L18" s="173"/>
      <c r="M18" s="60">
        <v>30</v>
      </c>
      <c r="N18" s="50"/>
      <c r="P18" s="51">
        <f>R18*S18</f>
        <v>0</v>
      </c>
      <c r="Q18" s="51"/>
      <c r="R18" s="133">
        <v>0.8</v>
      </c>
      <c r="S18" s="134">
        <f t="shared" si="1"/>
        <v>0</v>
      </c>
      <c r="T18" s="135">
        <v>850</v>
      </c>
      <c r="U18" s="134">
        <v>0</v>
      </c>
      <c r="V18" s="205" t="s">
        <v>19</v>
      </c>
      <c r="W18" s="144" t="s">
        <v>22</v>
      </c>
    </row>
    <row r="19" spans="1:23" ht="12" customHeight="1">
      <c r="A19" s="62" t="s">
        <v>22</v>
      </c>
      <c r="B19" s="42" t="s">
        <v>23</v>
      </c>
      <c r="C19" s="43">
        <v>0</v>
      </c>
      <c r="D19" s="63">
        <v>250</v>
      </c>
      <c r="E19" s="44">
        <f t="shared" si="0"/>
        <v>0</v>
      </c>
      <c r="F19" s="45">
        <v>0.45</v>
      </c>
      <c r="G19" s="55"/>
      <c r="I19" s="51">
        <f>E19*F19</f>
        <v>0</v>
      </c>
      <c r="J19" s="48"/>
      <c r="K19" s="64">
        <v>20</v>
      </c>
      <c r="L19" s="173"/>
      <c r="M19" s="64">
        <v>10</v>
      </c>
      <c r="N19" s="50"/>
      <c r="O19" s="51"/>
      <c r="P19" s="51"/>
      <c r="Q19" s="51">
        <f>R19*S19</f>
        <v>0</v>
      </c>
      <c r="R19" s="45">
        <v>0.45</v>
      </c>
      <c r="S19" s="52">
        <f t="shared" si="1"/>
        <v>0</v>
      </c>
      <c r="T19" s="53">
        <v>100</v>
      </c>
      <c r="U19" s="43">
        <v>0</v>
      </c>
      <c r="V19" s="204" t="s">
        <v>21</v>
      </c>
      <c r="W19" s="203" t="s">
        <v>22</v>
      </c>
    </row>
    <row r="20" spans="1:23" ht="12" customHeight="1">
      <c r="A20" s="54" t="s">
        <v>22</v>
      </c>
      <c r="B20" s="42" t="s">
        <v>19</v>
      </c>
      <c r="C20" s="43">
        <v>0</v>
      </c>
      <c r="D20" s="63">
        <v>1500</v>
      </c>
      <c r="E20" s="44">
        <f t="shared" si="0"/>
        <v>0</v>
      </c>
      <c r="F20" s="45">
        <v>0.8</v>
      </c>
      <c r="G20" s="51">
        <f>E20*F20</f>
        <v>0</v>
      </c>
      <c r="H20" s="51"/>
      <c r="I20" s="51"/>
      <c r="J20" s="48"/>
      <c r="K20" s="64">
        <v>20</v>
      </c>
      <c r="L20" s="173"/>
      <c r="M20" s="64">
        <v>30</v>
      </c>
      <c r="N20" s="48"/>
      <c r="O20" s="51">
        <f>R20*S20</f>
        <v>0</v>
      </c>
      <c r="Q20" s="51"/>
      <c r="R20" s="55">
        <v>0.6</v>
      </c>
      <c r="S20" s="52">
        <f t="shared" si="1"/>
        <v>0</v>
      </c>
      <c r="T20" s="63">
        <v>3000</v>
      </c>
      <c r="U20" s="52">
        <v>0</v>
      </c>
      <c r="V20" s="51" t="s">
        <v>20</v>
      </c>
      <c r="W20" s="67" t="s">
        <v>22</v>
      </c>
    </row>
    <row r="21" spans="1:23" ht="12" customHeight="1">
      <c r="A21" s="132" t="s">
        <v>22</v>
      </c>
      <c r="B21" s="42" t="s">
        <v>23</v>
      </c>
      <c r="C21" s="43">
        <v>0</v>
      </c>
      <c r="D21" s="63">
        <v>250</v>
      </c>
      <c r="E21" s="44">
        <f t="shared" si="0"/>
        <v>0</v>
      </c>
      <c r="F21" s="45">
        <v>0.45</v>
      </c>
      <c r="G21" s="55"/>
      <c r="H21" s="51">
        <f>E21*F21</f>
        <v>0</v>
      </c>
      <c r="J21" s="48"/>
      <c r="K21" s="64">
        <v>20</v>
      </c>
      <c r="L21" s="173"/>
      <c r="M21" s="64">
        <v>20</v>
      </c>
      <c r="N21" s="50"/>
      <c r="P21" s="51">
        <f>R21*S21</f>
        <v>0</v>
      </c>
      <c r="Q21" s="51"/>
      <c r="R21" s="55">
        <v>1</v>
      </c>
      <c r="S21" s="52">
        <f t="shared" si="1"/>
        <v>0</v>
      </c>
      <c r="T21" s="63">
        <v>400</v>
      </c>
      <c r="U21" s="52">
        <v>0</v>
      </c>
      <c r="V21" s="51" t="s">
        <v>24</v>
      </c>
      <c r="W21" s="67" t="s">
        <v>22</v>
      </c>
    </row>
    <row r="22" spans="1:23" ht="12" customHeight="1">
      <c r="A22" s="54" t="s">
        <v>22</v>
      </c>
      <c r="B22" s="42" t="s">
        <v>19</v>
      </c>
      <c r="C22" s="43">
        <v>0</v>
      </c>
      <c r="D22" s="53">
        <v>1119</v>
      </c>
      <c r="E22" s="44">
        <f t="shared" si="0"/>
        <v>0</v>
      </c>
      <c r="F22" s="45">
        <v>0.8</v>
      </c>
      <c r="G22" s="55"/>
      <c r="I22" s="51">
        <f>E22*F22</f>
        <v>0</v>
      </c>
      <c r="J22" s="48"/>
      <c r="K22" s="64">
        <v>15</v>
      </c>
      <c r="L22" s="173"/>
      <c r="M22" s="64">
        <v>20</v>
      </c>
      <c r="N22" s="50"/>
      <c r="O22" s="51"/>
      <c r="P22" s="51"/>
      <c r="Q22" s="51">
        <f>R22*S22</f>
        <v>0</v>
      </c>
      <c r="R22" s="133">
        <v>0.8</v>
      </c>
      <c r="S22" s="134">
        <f t="shared" si="1"/>
        <v>0</v>
      </c>
      <c r="T22" s="135">
        <v>1700</v>
      </c>
      <c r="U22" s="134">
        <v>0</v>
      </c>
      <c r="V22" s="141" t="s">
        <v>19</v>
      </c>
      <c r="W22" s="144" t="s">
        <v>22</v>
      </c>
    </row>
    <row r="23" spans="1:23" ht="12" customHeight="1">
      <c r="A23" s="54" t="s">
        <v>22</v>
      </c>
      <c r="B23" s="42" t="s">
        <v>19</v>
      </c>
      <c r="C23" s="43">
        <v>0</v>
      </c>
      <c r="D23" s="63">
        <v>1200</v>
      </c>
      <c r="E23" s="44">
        <f t="shared" si="0"/>
        <v>0</v>
      </c>
      <c r="F23" s="45">
        <v>1</v>
      </c>
      <c r="G23" s="51">
        <f>E23*F23</f>
        <v>0</v>
      </c>
      <c r="H23" s="51"/>
      <c r="I23" s="51"/>
      <c r="J23" s="48"/>
      <c r="K23" s="64">
        <v>20</v>
      </c>
      <c r="L23" s="173"/>
      <c r="M23" s="64">
        <v>20</v>
      </c>
      <c r="N23" s="50"/>
      <c r="O23" s="51">
        <f>R23*S23</f>
        <v>0</v>
      </c>
      <c r="Q23" s="51"/>
      <c r="R23" s="55">
        <v>1</v>
      </c>
      <c r="S23" s="52">
        <f t="shared" si="1"/>
        <v>0</v>
      </c>
      <c r="T23" s="63">
        <v>400</v>
      </c>
      <c r="U23" s="52">
        <v>0</v>
      </c>
      <c r="V23" s="101" t="s">
        <v>24</v>
      </c>
      <c r="W23" s="67" t="s">
        <v>22</v>
      </c>
    </row>
    <row r="24" spans="1:23" ht="12" customHeight="1">
      <c r="A24" s="54" t="s">
        <v>22</v>
      </c>
      <c r="B24" s="42" t="s">
        <v>19</v>
      </c>
      <c r="C24" s="43">
        <v>0</v>
      </c>
      <c r="D24" s="63">
        <v>1200</v>
      </c>
      <c r="E24" s="44">
        <f t="shared" si="0"/>
        <v>0</v>
      </c>
      <c r="F24" s="45">
        <v>1</v>
      </c>
      <c r="G24" s="55"/>
      <c r="H24" s="51">
        <f>E24*F24</f>
        <v>0</v>
      </c>
      <c r="J24" s="48"/>
      <c r="K24" s="64">
        <v>20</v>
      </c>
      <c r="L24" s="173"/>
      <c r="M24" s="64">
        <v>20</v>
      </c>
      <c r="N24" s="50"/>
      <c r="P24" s="51">
        <f>R24*S24</f>
        <v>0</v>
      </c>
      <c r="Q24" s="51"/>
      <c r="R24" s="55">
        <v>1</v>
      </c>
      <c r="S24" s="52">
        <f t="shared" si="1"/>
        <v>0</v>
      </c>
      <c r="T24" s="63">
        <v>400</v>
      </c>
      <c r="U24" s="52">
        <v>0</v>
      </c>
      <c r="V24" s="101" t="s">
        <v>24</v>
      </c>
      <c r="W24" s="67" t="s">
        <v>22</v>
      </c>
    </row>
    <row r="25" spans="1:23" ht="12" customHeight="1">
      <c r="A25" s="65" t="s">
        <v>22</v>
      </c>
      <c r="B25" s="42" t="s">
        <v>19</v>
      </c>
      <c r="C25" s="43">
        <v>0</v>
      </c>
      <c r="D25" s="63">
        <v>1200</v>
      </c>
      <c r="E25" s="44">
        <f t="shared" si="0"/>
        <v>0</v>
      </c>
      <c r="F25" s="45">
        <v>1</v>
      </c>
      <c r="G25" s="55"/>
      <c r="I25" s="51">
        <f>E25*F25</f>
        <v>0</v>
      </c>
      <c r="J25" s="48"/>
      <c r="K25" s="64">
        <v>20</v>
      </c>
      <c r="L25" s="173"/>
      <c r="M25" s="64">
        <v>20</v>
      </c>
      <c r="N25" s="50"/>
      <c r="O25" s="51"/>
      <c r="P25" s="51"/>
      <c r="Q25" s="51">
        <f>R25*S25</f>
        <v>0</v>
      </c>
      <c r="R25" s="55">
        <v>1</v>
      </c>
      <c r="S25" s="52">
        <f t="shared" si="1"/>
        <v>0</v>
      </c>
      <c r="T25" s="63">
        <v>400</v>
      </c>
      <c r="U25" s="52">
        <v>0</v>
      </c>
      <c r="V25" s="101" t="s">
        <v>24</v>
      </c>
      <c r="W25" s="67" t="s">
        <v>22</v>
      </c>
    </row>
    <row r="26" spans="1:23" ht="12" customHeight="1">
      <c r="A26" s="175" t="s">
        <v>25</v>
      </c>
      <c r="B26" s="157"/>
      <c r="C26" s="69"/>
      <c r="D26" s="69"/>
      <c r="E26" s="70">
        <f>SUM(E8:E25)</f>
        <v>10100</v>
      </c>
      <c r="F26" s="71"/>
      <c r="G26" s="72">
        <f t="shared" ref="G26:I26" si="2">SUM(G8:G25)</f>
        <v>2550</v>
      </c>
      <c r="H26" s="51">
        <f t="shared" si="2"/>
        <v>1880</v>
      </c>
      <c r="I26" s="51">
        <f t="shared" si="2"/>
        <v>1462.5</v>
      </c>
      <c r="J26" s="69"/>
      <c r="K26" s="73"/>
      <c r="L26" s="174"/>
      <c r="M26" s="73"/>
      <c r="N26" s="74"/>
      <c r="O26" s="55">
        <f>SUM(O8:O25)</f>
        <v>1040</v>
      </c>
      <c r="P26" s="72">
        <f t="shared" ref="P26:Q26" si="3">SUM(P8:P25)</f>
        <v>1855</v>
      </c>
      <c r="Q26" s="55">
        <f t="shared" si="3"/>
        <v>2147.5</v>
      </c>
      <c r="R26" s="55"/>
      <c r="S26" s="75">
        <f>SUM(S8:S25)</f>
        <v>7900</v>
      </c>
      <c r="T26" s="75"/>
      <c r="U26" s="72"/>
      <c r="V26" s="73"/>
      <c r="W26" s="76"/>
    </row>
    <row r="27" spans="1:23" ht="12" customHeight="1">
      <c r="A27" s="77" t="s">
        <v>26</v>
      </c>
      <c r="B27" s="69"/>
      <c r="C27" s="69"/>
      <c r="D27" s="69"/>
      <c r="E27" s="69"/>
      <c r="F27" s="71"/>
      <c r="G27" s="78"/>
      <c r="H27" s="79"/>
      <c r="I27" s="79"/>
      <c r="J27" s="69"/>
      <c r="K27" s="80"/>
      <c r="L27" s="80"/>
      <c r="M27" s="80" t="s">
        <v>103</v>
      </c>
      <c r="N27" s="74"/>
      <c r="O27" s="80"/>
      <c r="P27" s="80"/>
      <c r="Q27" s="80"/>
      <c r="R27" s="78"/>
      <c r="S27" s="80"/>
      <c r="T27" s="80"/>
      <c r="U27" s="79"/>
      <c r="V27" s="80"/>
      <c r="W27" s="76"/>
    </row>
    <row r="28" spans="1:23" ht="12" customHeight="1" thickBot="1">
      <c r="A28" s="176"/>
      <c r="B28" s="177"/>
      <c r="C28" s="81"/>
      <c r="D28" s="81"/>
      <c r="E28" s="81"/>
      <c r="F28" s="82"/>
      <c r="G28" s="83"/>
      <c r="H28" s="84"/>
      <c r="I28" s="85"/>
      <c r="J28" s="81"/>
      <c r="K28" s="86"/>
      <c r="L28" s="86"/>
      <c r="M28" s="86"/>
      <c r="N28" s="87"/>
      <c r="O28" s="86"/>
      <c r="P28" s="86"/>
      <c r="Q28" s="86"/>
      <c r="R28" s="88"/>
      <c r="S28" s="86"/>
      <c r="T28" s="86"/>
      <c r="U28" s="84"/>
      <c r="V28" s="86"/>
      <c r="W28" s="89"/>
    </row>
    <row r="29" spans="1:23" ht="12" customHeight="1" thickTop="1">
      <c r="A29" s="90"/>
      <c r="B29" s="7"/>
      <c r="C29" s="7"/>
      <c r="D29" s="7"/>
      <c r="E29" s="7"/>
      <c r="F29" s="91"/>
      <c r="G29" s="20"/>
      <c r="J29" s="7"/>
      <c r="N29" s="8"/>
      <c r="O29" s="92"/>
      <c r="P29" s="92"/>
      <c r="Q29" s="92"/>
      <c r="V29" s="178"/>
      <c r="W29" s="179"/>
    </row>
    <row r="30" spans="1:23" ht="12" customHeight="1">
      <c r="A30" s="151" t="s">
        <v>27</v>
      </c>
      <c r="B30" s="93"/>
      <c r="C30" s="93"/>
      <c r="D30" s="93"/>
      <c r="E30" s="93"/>
      <c r="F30" s="94"/>
      <c r="G30" s="95"/>
      <c r="H30" s="93"/>
      <c r="I30" s="180" t="s">
        <v>16</v>
      </c>
      <c r="J30" s="164"/>
      <c r="K30" s="180" t="s">
        <v>17</v>
      </c>
      <c r="L30" s="164"/>
      <c r="M30" s="180" t="s">
        <v>18</v>
      </c>
      <c r="N30" s="162"/>
      <c r="O30" s="164"/>
      <c r="P30" s="101"/>
      <c r="Q30" s="42"/>
      <c r="R30" s="96"/>
      <c r="S30" s="97" t="s">
        <v>28</v>
      </c>
      <c r="T30" s="97"/>
      <c r="U30" s="97"/>
      <c r="V30" s="42"/>
      <c r="W30" s="98"/>
    </row>
    <row r="31" spans="1:23" ht="12" customHeight="1">
      <c r="A31" s="150" t="s">
        <v>67</v>
      </c>
      <c r="G31" s="99" t="s">
        <v>29</v>
      </c>
      <c r="H31" s="100"/>
      <c r="I31" s="165">
        <f>G26+O26</f>
        <v>3590</v>
      </c>
      <c r="J31" s="166"/>
      <c r="K31" s="165">
        <f>H26+P26</f>
        <v>3735</v>
      </c>
      <c r="L31" s="166"/>
      <c r="M31" s="165">
        <f>I26+Q26</f>
        <v>3610</v>
      </c>
      <c r="N31" s="167"/>
      <c r="O31" s="166"/>
      <c r="P31" s="158"/>
      <c r="Q31" s="157"/>
      <c r="R31" s="96"/>
      <c r="S31" s="168" t="s">
        <v>68</v>
      </c>
      <c r="T31" s="169"/>
      <c r="U31" s="169"/>
      <c r="V31" s="169"/>
      <c r="W31" s="170"/>
    </row>
    <row r="32" spans="1:23" ht="12" customHeight="1">
      <c r="A32" s="15"/>
      <c r="G32" s="171" t="s">
        <v>30</v>
      </c>
      <c r="H32" s="157"/>
      <c r="I32" s="102"/>
      <c r="J32" s="103"/>
      <c r="K32" s="106"/>
      <c r="L32" s="103"/>
      <c r="M32" s="106"/>
      <c r="N32" s="105"/>
      <c r="O32" s="103"/>
      <c r="P32" s="160">
        <v>500</v>
      </c>
      <c r="Q32" s="157"/>
      <c r="R32" s="96"/>
      <c r="S32" s="107"/>
      <c r="T32" s="107"/>
      <c r="U32" s="107"/>
      <c r="V32" s="108"/>
      <c r="W32" s="76"/>
    </row>
    <row r="33" spans="1:23" ht="12" customHeight="1">
      <c r="A33" s="109" t="s">
        <v>31</v>
      </c>
      <c r="G33" s="99" t="s">
        <v>32</v>
      </c>
      <c r="H33" s="100"/>
      <c r="I33" s="110"/>
      <c r="J33" s="42"/>
      <c r="K33" s="101"/>
      <c r="L33" s="42"/>
      <c r="M33" s="101"/>
      <c r="N33" s="111"/>
      <c r="O33" s="42"/>
      <c r="P33" s="156">
        <f>I31+K31+M31+P32</f>
        <v>11435</v>
      </c>
      <c r="Q33" s="157"/>
      <c r="R33" s="96" t="s">
        <v>33</v>
      </c>
      <c r="S33" s="42"/>
      <c r="T33" s="42"/>
      <c r="U33" s="42"/>
      <c r="V33" s="108"/>
      <c r="W33" s="76"/>
    </row>
    <row r="34" spans="1:23" ht="12" customHeight="1">
      <c r="A34" s="15" t="s">
        <v>42</v>
      </c>
      <c r="G34" s="99" t="s">
        <v>34</v>
      </c>
      <c r="H34" s="100"/>
      <c r="I34" s="158"/>
      <c r="J34" s="157"/>
      <c r="K34" s="158"/>
      <c r="L34" s="157"/>
      <c r="M34" s="158"/>
      <c r="N34" s="159"/>
      <c r="O34" s="157"/>
      <c r="P34" s="160">
        <v>0.8</v>
      </c>
      <c r="Q34" s="157"/>
      <c r="R34" s="96" t="s">
        <v>35</v>
      </c>
      <c r="S34" s="42"/>
      <c r="T34" s="42"/>
      <c r="U34" s="42"/>
      <c r="V34" s="108"/>
      <c r="W34" s="76"/>
    </row>
    <row r="35" spans="1:23" ht="12" customHeight="1">
      <c r="A35" s="15"/>
      <c r="G35" s="161" t="s">
        <v>36</v>
      </c>
      <c r="H35" s="162"/>
      <c r="I35" s="162"/>
      <c r="J35" s="112"/>
      <c r="K35" s="113"/>
      <c r="L35" s="112"/>
      <c r="M35" s="113"/>
      <c r="N35" s="114"/>
      <c r="O35" s="112"/>
      <c r="P35" s="163">
        <f>P33/P34</f>
        <v>14293.75</v>
      </c>
      <c r="Q35" s="164"/>
      <c r="R35" s="115" t="s">
        <v>37</v>
      </c>
      <c r="S35" s="112"/>
      <c r="T35" s="112"/>
      <c r="U35" s="112"/>
      <c r="V35" s="116"/>
      <c r="W35" s="56"/>
    </row>
    <row r="36" spans="1:23" ht="12" customHeight="1" thickBot="1">
      <c r="A36" s="117"/>
      <c r="B36" s="118"/>
      <c r="C36" s="118"/>
      <c r="D36" s="118"/>
      <c r="E36" s="118"/>
      <c r="F36" s="119"/>
      <c r="G36" s="120" t="s">
        <v>38</v>
      </c>
      <c r="H36" s="121"/>
      <c r="I36" s="152"/>
      <c r="J36" s="153"/>
      <c r="K36" s="152"/>
      <c r="L36" s="153"/>
      <c r="M36" s="152"/>
      <c r="N36" s="154"/>
      <c r="O36" s="153"/>
      <c r="P36" s="155">
        <f>ROUNDUP(P33/575,1)</f>
        <v>19.900000000000002</v>
      </c>
      <c r="Q36" s="153"/>
      <c r="R36" s="122" t="s">
        <v>39</v>
      </c>
      <c r="S36" s="123"/>
      <c r="T36" s="123"/>
      <c r="U36" s="123"/>
      <c r="V36" s="124"/>
      <c r="W36" s="125"/>
    </row>
    <row r="37" spans="1:23" ht="12" customHeight="1">
      <c r="A37" s="18"/>
      <c r="G37" s="20"/>
      <c r="J37" s="7"/>
      <c r="N37" s="8"/>
      <c r="R37" s="126"/>
      <c r="W37" s="21"/>
    </row>
    <row r="38" spans="1:23" ht="12" customHeight="1" thickBot="1">
      <c r="A38" s="117"/>
      <c r="B38" s="118"/>
      <c r="C38" s="118"/>
      <c r="D38" s="118"/>
      <c r="E38" s="118"/>
      <c r="F38" s="119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9"/>
      <c r="S38" s="118"/>
      <c r="T38" s="118"/>
      <c r="U38" s="118"/>
      <c r="V38" s="118"/>
      <c r="W38" s="127"/>
    </row>
    <row r="39" spans="1:23" ht="12" customHeight="1"/>
    <row r="40" spans="1:23" ht="12" customHeight="1"/>
    <row r="41" spans="1:23" ht="12" customHeight="1"/>
    <row r="42" spans="1:23" ht="34.5" customHeight="1">
      <c r="C42" s="128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20"/>
      <c r="J49" s="7"/>
      <c r="N49" s="8"/>
      <c r="R49" s="126"/>
    </row>
    <row r="50" spans="7:18">
      <c r="G50" s="20"/>
      <c r="J50" s="7"/>
      <c r="N50" s="8"/>
      <c r="R50" s="126"/>
    </row>
    <row r="51" spans="7:18">
      <c r="G51" s="20"/>
      <c r="J51" s="7"/>
      <c r="N51" s="8"/>
      <c r="R51" s="126"/>
    </row>
    <row r="52" spans="7:18">
      <c r="G52" s="20"/>
      <c r="J52" s="7"/>
      <c r="N52" s="8"/>
      <c r="R52" s="126"/>
    </row>
    <row r="53" spans="7:18">
      <c r="G53" s="20"/>
      <c r="J53" s="7"/>
      <c r="N53" s="8"/>
      <c r="R53" s="126"/>
    </row>
    <row r="54" spans="7:18">
      <c r="G54" s="20"/>
      <c r="J54" s="7"/>
      <c r="N54" s="8"/>
      <c r="R54" s="126"/>
    </row>
    <row r="55" spans="7:18">
      <c r="G55" s="20"/>
      <c r="J55" s="7"/>
      <c r="N55" s="8"/>
      <c r="R55" s="126"/>
    </row>
    <row r="56" spans="7:18">
      <c r="G56" s="20"/>
      <c r="J56" s="7"/>
      <c r="N56" s="8"/>
      <c r="R56" s="126"/>
    </row>
    <row r="57" spans="7:18">
      <c r="G57" s="20"/>
      <c r="J57" s="7"/>
      <c r="N57" s="8"/>
      <c r="R57" s="126"/>
    </row>
    <row r="58" spans="7:18">
      <c r="G58" s="20"/>
      <c r="J58" s="7"/>
      <c r="N58" s="8"/>
      <c r="R58" s="126"/>
    </row>
    <row r="59" spans="7:18">
      <c r="G59" s="20"/>
      <c r="J59" s="7"/>
      <c r="N59" s="8"/>
      <c r="R59" s="126"/>
    </row>
    <row r="60" spans="7:18">
      <c r="G60" s="20"/>
      <c r="J60" s="7"/>
      <c r="N60" s="8"/>
      <c r="R60" s="126"/>
    </row>
    <row r="61" spans="7:18">
      <c r="G61" s="20"/>
      <c r="J61" s="7"/>
      <c r="N61" s="8"/>
      <c r="R61" s="126"/>
    </row>
    <row r="62" spans="7:18">
      <c r="G62" s="20"/>
      <c r="J62" s="7"/>
      <c r="N62" s="8"/>
      <c r="R62" s="126"/>
    </row>
    <row r="63" spans="7:18">
      <c r="G63" s="20"/>
      <c r="J63" s="7"/>
      <c r="N63" s="8"/>
      <c r="R63" s="126"/>
    </row>
    <row r="64" spans="7:18">
      <c r="G64" s="20"/>
      <c r="J64" s="7"/>
      <c r="N64" s="8"/>
      <c r="R64" s="126"/>
    </row>
    <row r="65" spans="7:18">
      <c r="G65" s="20"/>
      <c r="J65" s="7"/>
      <c r="N65" s="8"/>
      <c r="R65" s="126"/>
    </row>
    <row r="66" spans="7:18">
      <c r="G66" s="20"/>
      <c r="J66" s="7"/>
      <c r="N66" s="8"/>
      <c r="R66" s="126"/>
    </row>
    <row r="67" spans="7:18">
      <c r="G67" s="20"/>
      <c r="J67" s="7"/>
      <c r="N67" s="8"/>
      <c r="R67" s="126"/>
    </row>
    <row r="68" spans="7:18">
      <c r="G68" s="20"/>
      <c r="J68" s="7"/>
      <c r="N68" s="8"/>
      <c r="R68" s="126"/>
    </row>
    <row r="69" spans="7:18">
      <c r="G69" s="20"/>
      <c r="J69" s="7"/>
      <c r="N69" s="8"/>
      <c r="R69" s="126"/>
    </row>
    <row r="70" spans="7:18">
      <c r="G70" s="20"/>
      <c r="J70" s="7"/>
      <c r="N70" s="8"/>
      <c r="R70" s="126"/>
    </row>
    <row r="71" spans="7:18">
      <c r="G71" s="20"/>
      <c r="J71" s="7"/>
      <c r="N71" s="8"/>
      <c r="R71" s="126"/>
    </row>
    <row r="72" spans="7:18">
      <c r="G72" s="20"/>
      <c r="J72" s="7"/>
      <c r="N72" s="8"/>
      <c r="R72" s="126"/>
    </row>
    <row r="73" spans="7:18">
      <c r="G73" s="20"/>
      <c r="J73" s="7"/>
      <c r="N73" s="8"/>
      <c r="R73" s="126"/>
    </row>
    <row r="74" spans="7:18">
      <c r="G74" s="20"/>
      <c r="J74" s="7"/>
      <c r="N74" s="8"/>
      <c r="R74" s="126"/>
    </row>
    <row r="75" spans="7:18">
      <c r="G75" s="20"/>
      <c r="J75" s="7"/>
      <c r="N75" s="8"/>
      <c r="R75" s="126"/>
    </row>
    <row r="76" spans="7:18">
      <c r="G76" s="20"/>
      <c r="J76" s="7"/>
      <c r="N76" s="8"/>
      <c r="R76" s="126"/>
    </row>
    <row r="77" spans="7:18">
      <c r="G77" s="20"/>
      <c r="J77" s="7"/>
      <c r="N77" s="8"/>
      <c r="R77" s="126"/>
    </row>
    <row r="78" spans="7:18">
      <c r="G78" s="20"/>
      <c r="J78" s="7"/>
      <c r="N78" s="8"/>
      <c r="R78" s="126"/>
    </row>
    <row r="79" spans="7:18">
      <c r="G79" s="20"/>
      <c r="J79" s="7"/>
      <c r="N79" s="8"/>
      <c r="R79" s="126"/>
    </row>
    <row r="80" spans="7:18">
      <c r="G80" s="20"/>
      <c r="J80" s="7"/>
      <c r="N80" s="8"/>
      <c r="R80" s="126"/>
    </row>
    <row r="81" spans="7:18">
      <c r="G81" s="20"/>
      <c r="J81" s="7"/>
      <c r="N81" s="8"/>
      <c r="R81" s="126"/>
    </row>
    <row r="82" spans="7:18">
      <c r="G82" s="20"/>
      <c r="J82" s="7"/>
      <c r="N82" s="8"/>
      <c r="R82" s="126"/>
    </row>
    <row r="83" spans="7:18">
      <c r="G83" s="20"/>
      <c r="J83" s="7"/>
      <c r="N83" s="8"/>
      <c r="R83" s="126"/>
    </row>
    <row r="84" spans="7:18">
      <c r="G84" s="20"/>
      <c r="J84" s="7"/>
      <c r="N84" s="8"/>
      <c r="R84" s="126"/>
    </row>
    <row r="85" spans="7:18">
      <c r="G85" s="20"/>
      <c r="J85" s="7"/>
      <c r="N85" s="8"/>
      <c r="R85" s="126"/>
    </row>
    <row r="86" spans="7:18">
      <c r="G86" s="20"/>
      <c r="J86" s="7"/>
      <c r="N86" s="8"/>
      <c r="R86" s="126"/>
    </row>
    <row r="87" spans="7:18">
      <c r="G87" s="20"/>
      <c r="J87" s="7"/>
      <c r="N87" s="8"/>
      <c r="R87" s="126"/>
    </row>
    <row r="88" spans="7:18">
      <c r="G88" s="20"/>
      <c r="J88" s="7"/>
      <c r="N88" s="8"/>
      <c r="R88" s="126"/>
    </row>
    <row r="89" spans="7:18">
      <c r="G89" s="20"/>
      <c r="J89" s="7"/>
      <c r="N89" s="8"/>
      <c r="R89" s="126"/>
    </row>
    <row r="90" spans="7:18">
      <c r="G90" s="20"/>
      <c r="J90" s="7"/>
      <c r="N90" s="8"/>
      <c r="R90" s="126"/>
    </row>
    <row r="91" spans="7:18">
      <c r="G91" s="20"/>
      <c r="J91" s="7"/>
      <c r="N91" s="8"/>
      <c r="R91" s="126"/>
    </row>
    <row r="92" spans="7:18">
      <c r="G92" s="20"/>
      <c r="J92" s="7"/>
      <c r="N92" s="8"/>
      <c r="R92" s="126"/>
    </row>
    <row r="93" spans="7:18">
      <c r="G93" s="20"/>
      <c r="J93" s="7"/>
      <c r="N93" s="8"/>
      <c r="R93" s="126"/>
    </row>
    <row r="94" spans="7:18">
      <c r="G94" s="20"/>
      <c r="J94" s="7"/>
      <c r="N94" s="8"/>
      <c r="R94" s="126"/>
    </row>
    <row r="95" spans="7:18">
      <c r="G95" s="20"/>
      <c r="J95" s="7"/>
      <c r="N95" s="8"/>
      <c r="R95" s="126"/>
    </row>
    <row r="96" spans="7:18">
      <c r="G96" s="20"/>
      <c r="J96" s="7"/>
      <c r="N96" s="8"/>
      <c r="R96" s="126"/>
    </row>
    <row r="97" spans="7:18">
      <c r="G97" s="20"/>
      <c r="J97" s="7"/>
      <c r="N97" s="8"/>
      <c r="R97" s="126"/>
    </row>
    <row r="98" spans="7:18">
      <c r="G98" s="20"/>
      <c r="J98" s="7"/>
      <c r="N98" s="8"/>
      <c r="R98" s="126"/>
    </row>
    <row r="99" spans="7:18">
      <c r="G99" s="20"/>
      <c r="J99" s="7"/>
      <c r="N99" s="8"/>
      <c r="R99" s="126"/>
    </row>
    <row r="100" spans="7:18">
      <c r="G100" s="20"/>
      <c r="J100" s="7"/>
      <c r="N100" s="8"/>
      <c r="R100" s="126"/>
    </row>
  </sheetData>
  <mergeCells count="33"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I31:J31"/>
    <mergeCell ref="K31:L31"/>
    <mergeCell ref="M31:O31"/>
    <mergeCell ref="P31:Q31"/>
    <mergeCell ref="S31:W31"/>
    <mergeCell ref="G32:H32"/>
    <mergeCell ref="P32:Q32"/>
    <mergeCell ref="L8:L26"/>
    <mergeCell ref="A26:B26"/>
    <mergeCell ref="A28:B28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abSelected="1" workbookViewId="0">
      <selection activeCell="P13" sqref="P13"/>
    </sheetView>
  </sheetViews>
  <sheetFormatPr defaultColWidth="16.7109375" defaultRowHeight="15"/>
  <cols>
    <col min="1" max="1" width="27.140625" style="1" customWidth="1"/>
    <col min="2" max="2" width="7.7109375" style="1" customWidth="1"/>
    <col min="3" max="3" width="5.7109375" style="1" customWidth="1"/>
    <col min="4" max="4" width="6.28515625" style="1" customWidth="1"/>
    <col min="5" max="5" width="7.7109375" style="1" customWidth="1"/>
    <col min="6" max="6" width="7.7109375" style="19" customWidth="1"/>
    <col min="7" max="9" width="7.7109375" style="1" customWidth="1"/>
    <col min="10" max="10" width="2.42578125" style="1" customWidth="1"/>
    <col min="11" max="11" width="3.7109375" style="1" customWidth="1"/>
    <col min="12" max="12" width="7.140625" style="1" customWidth="1"/>
    <col min="13" max="13" width="3.7109375" style="1" customWidth="1"/>
    <col min="14" max="14" width="2.42578125" style="1" customWidth="1"/>
    <col min="15" max="17" width="7.7109375" style="1" customWidth="1"/>
    <col min="18" max="18" width="7.7109375" style="19" customWidth="1"/>
    <col min="19" max="19" width="7.7109375" style="1" customWidth="1"/>
    <col min="20" max="21" width="5.7109375" style="1" customWidth="1"/>
    <col min="22" max="22" width="7.7109375" style="1" customWidth="1"/>
    <col min="23" max="23" width="25.42578125" style="1" customWidth="1"/>
    <col min="24" max="24" width="8.7109375" style="1" customWidth="1"/>
    <col min="25" max="16384" width="16.7109375" style="1"/>
  </cols>
  <sheetData>
    <row r="1" spans="1:24" ht="12" customHeight="1">
      <c r="A1" s="181" t="s">
        <v>124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3"/>
    </row>
    <row r="2" spans="1:24" ht="12" customHeight="1">
      <c r="A2" s="2" t="s">
        <v>0</v>
      </c>
      <c r="B2" s="184" t="s">
        <v>44</v>
      </c>
      <c r="C2" s="159"/>
      <c r="D2" s="159"/>
      <c r="E2" s="3"/>
      <c r="F2" s="4"/>
      <c r="G2" s="5"/>
      <c r="H2" s="6"/>
      <c r="I2" s="6"/>
      <c r="J2" s="7"/>
      <c r="K2" s="6"/>
      <c r="L2" s="6"/>
      <c r="M2" s="6"/>
      <c r="N2" s="8"/>
      <c r="O2" s="6"/>
      <c r="P2" s="9" t="s">
        <v>1</v>
      </c>
      <c r="Q2" s="138" t="s">
        <v>43</v>
      </c>
      <c r="R2" s="4"/>
      <c r="S2" s="3"/>
      <c r="T2" s="3"/>
      <c r="U2" s="3"/>
      <c r="V2" s="10"/>
      <c r="W2" s="11"/>
    </row>
    <row r="3" spans="1:24" ht="12" customHeight="1">
      <c r="A3" s="2" t="s">
        <v>2</v>
      </c>
      <c r="B3" s="184" t="s">
        <v>3</v>
      </c>
      <c r="C3" s="159"/>
      <c r="D3" s="159"/>
      <c r="E3" s="3"/>
      <c r="F3" s="4"/>
      <c r="G3" s="5"/>
      <c r="H3" s="3"/>
      <c r="I3" s="3"/>
      <c r="J3" s="12"/>
      <c r="K3" s="3"/>
      <c r="L3" s="3"/>
      <c r="M3" s="3"/>
      <c r="N3" s="13"/>
      <c r="O3" s="3"/>
      <c r="P3" s="9" t="s">
        <v>4</v>
      </c>
      <c r="Q3" s="3" t="s">
        <v>125</v>
      </c>
      <c r="R3" s="4"/>
      <c r="S3" s="3"/>
      <c r="T3" s="3"/>
      <c r="U3" s="3"/>
      <c r="V3" s="3"/>
      <c r="W3" s="14"/>
    </row>
    <row r="4" spans="1:24" ht="12" customHeight="1">
      <c r="A4" s="15" t="s">
        <v>5</v>
      </c>
      <c r="B4" s="185"/>
      <c r="C4" s="162"/>
      <c r="D4" s="162"/>
      <c r="E4" s="16"/>
      <c r="F4" s="17"/>
      <c r="G4" s="17"/>
      <c r="H4" s="6"/>
      <c r="I4" s="6"/>
      <c r="J4" s="7"/>
      <c r="K4" s="6"/>
      <c r="L4" s="6"/>
      <c r="M4" s="6"/>
      <c r="N4" s="8"/>
      <c r="O4" s="6"/>
      <c r="P4" s="6" t="s">
        <v>6</v>
      </c>
      <c r="Q4" s="185" t="s">
        <v>7</v>
      </c>
      <c r="R4" s="162"/>
      <c r="S4" s="6"/>
      <c r="T4" s="6"/>
      <c r="U4" s="6"/>
      <c r="V4" s="6"/>
      <c r="W4" s="11"/>
    </row>
    <row r="5" spans="1:24" ht="12" customHeight="1">
      <c r="A5" s="18"/>
      <c r="G5" s="20"/>
      <c r="J5" s="7"/>
      <c r="N5" s="8"/>
      <c r="W5" s="21"/>
    </row>
    <row r="6" spans="1:24" ht="34.5" customHeight="1" thickBot="1">
      <c r="A6" s="22" t="s">
        <v>8</v>
      </c>
      <c r="B6" s="23" t="s">
        <v>9</v>
      </c>
      <c r="C6" s="23" t="s">
        <v>10</v>
      </c>
      <c r="D6" s="24" t="s">
        <v>11</v>
      </c>
      <c r="E6" s="24" t="s">
        <v>12</v>
      </c>
      <c r="F6" s="25" t="s">
        <v>13</v>
      </c>
      <c r="G6" s="186" t="s">
        <v>14</v>
      </c>
      <c r="H6" s="187"/>
      <c r="I6" s="188"/>
      <c r="J6" s="189" t="s">
        <v>15</v>
      </c>
      <c r="K6" s="190"/>
      <c r="L6" s="190"/>
      <c r="M6" s="190"/>
      <c r="N6" s="191"/>
      <c r="O6" s="186" t="s">
        <v>14</v>
      </c>
      <c r="P6" s="187"/>
      <c r="Q6" s="188"/>
      <c r="R6" s="25" t="s">
        <v>13</v>
      </c>
      <c r="S6" s="24" t="s">
        <v>12</v>
      </c>
      <c r="T6" s="24" t="s">
        <v>11</v>
      </c>
      <c r="U6" s="23" t="s">
        <v>10</v>
      </c>
      <c r="V6" s="23" t="s">
        <v>9</v>
      </c>
      <c r="W6" s="26" t="s">
        <v>8</v>
      </c>
    </row>
    <row r="7" spans="1:24" ht="12" customHeight="1" thickTop="1">
      <c r="A7" s="27"/>
      <c r="B7" s="28"/>
      <c r="C7" s="29"/>
      <c r="D7" s="29"/>
      <c r="E7" s="29"/>
      <c r="F7" s="30"/>
      <c r="G7" s="31" t="s">
        <v>16</v>
      </c>
      <c r="H7" s="32" t="s">
        <v>17</v>
      </c>
      <c r="I7" s="32" t="s">
        <v>18</v>
      </c>
      <c r="J7" s="33"/>
      <c r="K7" s="34"/>
      <c r="L7" s="35"/>
      <c r="M7" s="35"/>
      <c r="N7" s="36"/>
      <c r="O7" s="37" t="s">
        <v>16</v>
      </c>
      <c r="P7" s="32" t="s">
        <v>17</v>
      </c>
      <c r="Q7" s="38" t="s">
        <v>18</v>
      </c>
      <c r="R7" s="39"/>
      <c r="S7" s="40"/>
      <c r="T7" s="40"/>
      <c r="U7" s="40"/>
      <c r="V7" s="28"/>
      <c r="W7" s="41"/>
    </row>
    <row r="8" spans="1:24" ht="12" customHeight="1">
      <c r="A8" s="129" t="s">
        <v>126</v>
      </c>
      <c r="B8" s="130" t="s">
        <v>21</v>
      </c>
      <c r="C8" s="131">
        <v>15</v>
      </c>
      <c r="D8" s="53">
        <v>100</v>
      </c>
      <c r="E8" s="44">
        <f t="shared" ref="E8:E25" si="0">C8*D8</f>
        <v>1500</v>
      </c>
      <c r="F8" s="45">
        <v>0.45</v>
      </c>
      <c r="G8" s="46">
        <f>E8*F8</f>
        <v>675</v>
      </c>
      <c r="H8" s="43"/>
      <c r="I8" s="47"/>
      <c r="J8" s="48">
        <v>1</v>
      </c>
      <c r="K8" s="49">
        <v>10</v>
      </c>
      <c r="L8" s="172"/>
      <c r="M8" s="49">
        <v>20</v>
      </c>
      <c r="N8" s="50">
        <v>10</v>
      </c>
      <c r="O8" s="51">
        <f>S8*R8</f>
        <v>680</v>
      </c>
      <c r="P8" s="51"/>
      <c r="R8" s="133">
        <v>0.8</v>
      </c>
      <c r="S8" s="134">
        <f t="shared" ref="S8:S25" si="1">T8*U8</f>
        <v>850</v>
      </c>
      <c r="T8" s="135">
        <v>850</v>
      </c>
      <c r="U8" s="134">
        <v>1</v>
      </c>
      <c r="V8" s="136" t="s">
        <v>19</v>
      </c>
      <c r="W8" s="137" t="s">
        <v>134</v>
      </c>
    </row>
    <row r="9" spans="1:24" ht="12" customHeight="1">
      <c r="A9" s="147" t="s">
        <v>127</v>
      </c>
      <c r="B9" s="136" t="s">
        <v>19</v>
      </c>
      <c r="C9" s="148">
        <v>1</v>
      </c>
      <c r="D9" s="135">
        <v>1500</v>
      </c>
      <c r="E9" s="149">
        <f t="shared" si="0"/>
        <v>1500</v>
      </c>
      <c r="F9" s="133">
        <v>0.8</v>
      </c>
      <c r="G9" s="55"/>
      <c r="H9" s="55">
        <f>E9*F9</f>
        <v>1200</v>
      </c>
      <c r="J9" s="48">
        <v>2</v>
      </c>
      <c r="K9" s="49">
        <v>20</v>
      </c>
      <c r="L9" s="173"/>
      <c r="M9" s="49">
        <v>10</v>
      </c>
      <c r="N9" s="50">
        <v>11</v>
      </c>
      <c r="P9" s="55">
        <f>S9*R9</f>
        <v>495</v>
      </c>
      <c r="Q9" s="55"/>
      <c r="R9" s="45">
        <v>0.45</v>
      </c>
      <c r="S9" s="52">
        <f t="shared" si="1"/>
        <v>1100</v>
      </c>
      <c r="T9" s="53">
        <v>100</v>
      </c>
      <c r="U9" s="43">
        <v>11</v>
      </c>
      <c r="V9" s="140" t="s">
        <v>21</v>
      </c>
      <c r="W9" s="144" t="s">
        <v>135</v>
      </c>
    </row>
    <row r="10" spans="1:24" ht="12" customHeight="1">
      <c r="A10" s="129" t="s">
        <v>128</v>
      </c>
      <c r="B10" s="130" t="s">
        <v>21</v>
      </c>
      <c r="C10" s="131">
        <v>1</v>
      </c>
      <c r="D10" s="53">
        <v>1000</v>
      </c>
      <c r="E10" s="44">
        <f t="shared" si="0"/>
        <v>1000</v>
      </c>
      <c r="F10" s="45">
        <v>0.45</v>
      </c>
      <c r="G10" s="55"/>
      <c r="I10" s="55">
        <f>E10*F10</f>
        <v>450</v>
      </c>
      <c r="J10" s="48">
        <v>3</v>
      </c>
      <c r="K10" s="49">
        <v>10</v>
      </c>
      <c r="L10" s="173"/>
      <c r="M10" s="49">
        <v>10</v>
      </c>
      <c r="N10" s="50">
        <v>12</v>
      </c>
      <c r="O10" s="57"/>
      <c r="Q10" s="55">
        <f>S10*R10</f>
        <v>450</v>
      </c>
      <c r="R10" s="45">
        <v>0.45</v>
      </c>
      <c r="S10" s="52">
        <f t="shared" si="1"/>
        <v>1000</v>
      </c>
      <c r="T10" s="53">
        <v>100</v>
      </c>
      <c r="U10" s="43">
        <v>10</v>
      </c>
      <c r="V10" s="140" t="s">
        <v>21</v>
      </c>
      <c r="W10" s="144" t="s">
        <v>136</v>
      </c>
    </row>
    <row r="11" spans="1:24" ht="12" customHeight="1">
      <c r="A11" s="147" t="s">
        <v>129</v>
      </c>
      <c r="B11" s="136" t="s">
        <v>19</v>
      </c>
      <c r="C11" s="148">
        <v>1</v>
      </c>
      <c r="D11" s="135">
        <v>1500</v>
      </c>
      <c r="E11" s="149">
        <f t="shared" si="0"/>
        <v>1500</v>
      </c>
      <c r="F11" s="133">
        <v>0.8</v>
      </c>
      <c r="G11" s="55">
        <f>E11*F11</f>
        <v>1200</v>
      </c>
      <c r="H11" s="57"/>
      <c r="J11" s="48">
        <v>4</v>
      </c>
      <c r="K11" s="49">
        <v>20</v>
      </c>
      <c r="L11" s="173"/>
      <c r="M11" s="49">
        <v>10</v>
      </c>
      <c r="N11" s="50">
        <v>13</v>
      </c>
      <c r="O11" s="51">
        <f>S11*R11</f>
        <v>360</v>
      </c>
      <c r="P11" s="51"/>
      <c r="R11" s="45">
        <v>0.45</v>
      </c>
      <c r="S11" s="52">
        <f t="shared" si="1"/>
        <v>800</v>
      </c>
      <c r="T11" s="53">
        <v>100</v>
      </c>
      <c r="U11" s="43">
        <v>8</v>
      </c>
      <c r="V11" s="139" t="s">
        <v>21</v>
      </c>
      <c r="W11" s="143" t="s">
        <v>137</v>
      </c>
    </row>
    <row r="12" spans="1:24" ht="12" customHeight="1">
      <c r="A12" s="194" t="s">
        <v>130</v>
      </c>
      <c r="B12" s="193" t="s">
        <v>19</v>
      </c>
      <c r="C12" s="43">
        <v>1</v>
      </c>
      <c r="D12" s="63">
        <v>850</v>
      </c>
      <c r="E12" s="44">
        <f t="shared" si="0"/>
        <v>850</v>
      </c>
      <c r="F12" s="45">
        <v>0.8</v>
      </c>
      <c r="G12" s="58"/>
      <c r="H12" s="55">
        <f>E12*F12</f>
        <v>680</v>
      </c>
      <c r="I12" s="59"/>
      <c r="J12" s="48">
        <v>5</v>
      </c>
      <c r="K12" s="49">
        <v>20</v>
      </c>
      <c r="L12" s="173"/>
      <c r="M12" s="49">
        <v>20</v>
      </c>
      <c r="N12" s="50">
        <v>14</v>
      </c>
      <c r="O12" s="51"/>
      <c r="P12" s="51">
        <f>R12*S12</f>
        <v>680</v>
      </c>
      <c r="Q12" s="59"/>
      <c r="R12" s="133">
        <v>0.8</v>
      </c>
      <c r="S12" s="134">
        <f t="shared" si="1"/>
        <v>850</v>
      </c>
      <c r="T12" s="135">
        <v>850</v>
      </c>
      <c r="U12" s="134">
        <v>1</v>
      </c>
      <c r="V12" s="141" t="s">
        <v>19</v>
      </c>
      <c r="W12" s="144" t="s">
        <v>138</v>
      </c>
    </row>
    <row r="13" spans="1:24" ht="12" customHeight="1">
      <c r="A13" s="62" t="s">
        <v>131</v>
      </c>
      <c r="B13" s="42" t="s">
        <v>23</v>
      </c>
      <c r="C13" s="43">
        <v>4</v>
      </c>
      <c r="D13" s="63">
        <v>250</v>
      </c>
      <c r="E13" s="44">
        <f t="shared" si="0"/>
        <v>1000</v>
      </c>
      <c r="F13" s="45">
        <v>0.45</v>
      </c>
      <c r="I13" s="55">
        <f>E13*F13</f>
        <v>450</v>
      </c>
      <c r="J13" s="48">
        <v>6</v>
      </c>
      <c r="K13" s="49">
        <v>30</v>
      </c>
      <c r="L13" s="173"/>
      <c r="M13" s="60">
        <v>30</v>
      </c>
      <c r="N13" s="50">
        <v>15</v>
      </c>
      <c r="P13" s="61"/>
      <c r="Q13" s="55">
        <f>S13*R13</f>
        <v>337.5</v>
      </c>
      <c r="R13" s="133">
        <v>0.45</v>
      </c>
      <c r="S13" s="134">
        <f t="shared" si="1"/>
        <v>750</v>
      </c>
      <c r="T13" s="135">
        <v>250</v>
      </c>
      <c r="U13" s="134">
        <v>3</v>
      </c>
      <c r="V13" s="42" t="s">
        <v>23</v>
      </c>
      <c r="W13" s="206" t="s">
        <v>139</v>
      </c>
      <c r="X13" s="200"/>
    </row>
    <row r="14" spans="1:24" ht="12" customHeight="1">
      <c r="A14" s="62" t="s">
        <v>132</v>
      </c>
      <c r="B14" s="42" t="s">
        <v>23</v>
      </c>
      <c r="C14" s="43">
        <v>6</v>
      </c>
      <c r="D14" s="63">
        <v>250</v>
      </c>
      <c r="E14" s="44">
        <f t="shared" si="0"/>
        <v>1500</v>
      </c>
      <c r="F14" s="45">
        <v>0.45</v>
      </c>
      <c r="G14" s="55">
        <f>E14*F14</f>
        <v>675</v>
      </c>
      <c r="H14" s="51"/>
      <c r="I14" s="51"/>
      <c r="J14" s="48">
        <v>7</v>
      </c>
      <c r="K14" s="49">
        <v>30</v>
      </c>
      <c r="L14" s="173"/>
      <c r="M14" s="60">
        <v>20</v>
      </c>
      <c r="N14" s="50">
        <v>16</v>
      </c>
      <c r="O14" s="51">
        <f>S14*R14</f>
        <v>0</v>
      </c>
      <c r="P14" s="59"/>
      <c r="Q14" s="51"/>
      <c r="R14" s="133">
        <v>0.8</v>
      </c>
      <c r="S14" s="134">
        <f t="shared" si="1"/>
        <v>0</v>
      </c>
      <c r="T14" s="135">
        <v>850</v>
      </c>
      <c r="U14" s="134">
        <v>0</v>
      </c>
      <c r="V14" s="136" t="s">
        <v>19</v>
      </c>
      <c r="W14" s="145" t="s">
        <v>22</v>
      </c>
    </row>
    <row r="15" spans="1:24" ht="12" customHeight="1">
      <c r="A15" s="194" t="s">
        <v>22</v>
      </c>
      <c r="B15" s="193" t="s">
        <v>19</v>
      </c>
      <c r="C15" s="43">
        <v>0</v>
      </c>
      <c r="D15" s="63">
        <v>850</v>
      </c>
      <c r="E15" s="44">
        <f t="shared" si="0"/>
        <v>0</v>
      </c>
      <c r="F15" s="45">
        <v>0.8</v>
      </c>
      <c r="G15" s="55"/>
      <c r="H15" s="51">
        <f>E15*F15</f>
        <v>0</v>
      </c>
      <c r="J15" s="48">
        <v>8</v>
      </c>
      <c r="K15" s="64">
        <v>20</v>
      </c>
      <c r="L15" s="173"/>
      <c r="M15" s="60">
        <v>20</v>
      </c>
      <c r="N15" s="50">
        <v>17</v>
      </c>
      <c r="P15" s="51">
        <f>S15*R15</f>
        <v>680</v>
      </c>
      <c r="Q15" s="51"/>
      <c r="R15" s="133">
        <v>0.8</v>
      </c>
      <c r="S15" s="134">
        <f t="shared" si="1"/>
        <v>850</v>
      </c>
      <c r="T15" s="135">
        <v>850</v>
      </c>
      <c r="U15" s="134">
        <v>1</v>
      </c>
      <c r="V15" s="136" t="s">
        <v>19</v>
      </c>
      <c r="W15" s="137" t="s">
        <v>140</v>
      </c>
    </row>
    <row r="16" spans="1:24" ht="12" customHeight="1">
      <c r="A16" s="62" t="s">
        <v>133</v>
      </c>
      <c r="B16" s="42" t="s">
        <v>23</v>
      </c>
      <c r="C16" s="43">
        <v>5</v>
      </c>
      <c r="D16" s="63">
        <v>250</v>
      </c>
      <c r="E16" s="44">
        <f t="shared" si="0"/>
        <v>1250</v>
      </c>
      <c r="F16" s="45">
        <v>0.45</v>
      </c>
      <c r="G16" s="55"/>
      <c r="I16" s="51">
        <f>E16*F16</f>
        <v>562.5</v>
      </c>
      <c r="J16" s="48">
        <v>9</v>
      </c>
      <c r="K16" s="64">
        <v>30</v>
      </c>
      <c r="L16" s="173"/>
      <c r="M16" s="60">
        <v>20</v>
      </c>
      <c r="N16" s="50">
        <v>18</v>
      </c>
      <c r="O16" s="51"/>
      <c r="P16" s="51"/>
      <c r="Q16" s="51">
        <f>R16*S16</f>
        <v>1360</v>
      </c>
      <c r="R16" s="133">
        <v>0.8</v>
      </c>
      <c r="S16" s="134">
        <f t="shared" si="1"/>
        <v>1700</v>
      </c>
      <c r="T16" s="135">
        <v>1700</v>
      </c>
      <c r="U16" s="134">
        <v>1</v>
      </c>
      <c r="V16" s="141" t="s">
        <v>19</v>
      </c>
      <c r="W16" s="144" t="s">
        <v>141</v>
      </c>
    </row>
    <row r="17" spans="1:23" ht="12" customHeight="1">
      <c r="A17" s="147" t="s">
        <v>22</v>
      </c>
      <c r="B17" s="136" t="s">
        <v>19</v>
      </c>
      <c r="C17" s="148">
        <v>0</v>
      </c>
      <c r="D17" s="135">
        <v>1500</v>
      </c>
      <c r="E17" s="149">
        <f t="shared" si="0"/>
        <v>0</v>
      </c>
      <c r="F17" s="133">
        <v>0.8</v>
      </c>
      <c r="G17" s="51">
        <f>F17*E17</f>
        <v>0</v>
      </c>
      <c r="H17" s="68"/>
      <c r="I17" s="51"/>
      <c r="J17" s="48"/>
      <c r="K17" s="64">
        <v>30</v>
      </c>
      <c r="L17" s="173"/>
      <c r="M17" s="60">
        <v>30</v>
      </c>
      <c r="N17" s="50"/>
      <c r="O17" s="51">
        <f>S17*R17</f>
        <v>0</v>
      </c>
      <c r="Q17" s="51"/>
      <c r="R17" s="133">
        <v>0.4</v>
      </c>
      <c r="S17" s="134">
        <f t="shared" si="1"/>
        <v>0</v>
      </c>
      <c r="T17" s="135">
        <v>3000</v>
      </c>
      <c r="U17" s="134">
        <v>0</v>
      </c>
      <c r="V17" s="141" t="s">
        <v>20</v>
      </c>
      <c r="W17" s="146" t="s">
        <v>22</v>
      </c>
    </row>
    <row r="18" spans="1:23" ht="12" customHeight="1">
      <c r="A18" s="147" t="s">
        <v>22</v>
      </c>
      <c r="B18" s="136" t="s">
        <v>19</v>
      </c>
      <c r="C18" s="148">
        <v>0</v>
      </c>
      <c r="D18" s="135">
        <v>1500</v>
      </c>
      <c r="E18" s="149">
        <f t="shared" si="0"/>
        <v>0</v>
      </c>
      <c r="F18" s="133">
        <v>0.8</v>
      </c>
      <c r="G18" s="55"/>
      <c r="H18" s="51">
        <f>E18*F18</f>
        <v>0</v>
      </c>
      <c r="J18" s="48"/>
      <c r="K18" s="64">
        <v>20</v>
      </c>
      <c r="L18" s="173"/>
      <c r="M18" s="60">
        <v>30</v>
      </c>
      <c r="N18" s="50"/>
      <c r="P18" s="51">
        <f>R18*S18</f>
        <v>0</v>
      </c>
      <c r="Q18" s="51"/>
      <c r="R18" s="133">
        <v>0.8</v>
      </c>
      <c r="S18" s="134">
        <f t="shared" si="1"/>
        <v>0</v>
      </c>
      <c r="T18" s="135">
        <v>850</v>
      </c>
      <c r="U18" s="134">
        <v>0</v>
      </c>
      <c r="V18" s="198" t="s">
        <v>19</v>
      </c>
      <c r="W18" s="144" t="s">
        <v>22</v>
      </c>
    </row>
    <row r="19" spans="1:23" ht="12" customHeight="1">
      <c r="A19" s="62" t="s">
        <v>22</v>
      </c>
      <c r="B19" s="42" t="s">
        <v>23</v>
      </c>
      <c r="C19" s="43">
        <v>0</v>
      </c>
      <c r="D19" s="63">
        <v>250</v>
      </c>
      <c r="E19" s="44">
        <f t="shared" si="0"/>
        <v>0</v>
      </c>
      <c r="F19" s="45">
        <v>0.45</v>
      </c>
      <c r="G19" s="55"/>
      <c r="I19" s="51">
        <f>E19*F19</f>
        <v>0</v>
      </c>
      <c r="J19" s="48"/>
      <c r="K19" s="64">
        <v>20</v>
      </c>
      <c r="L19" s="173"/>
      <c r="M19" s="64">
        <v>10</v>
      </c>
      <c r="N19" s="50"/>
      <c r="O19" s="51"/>
      <c r="P19" s="51"/>
      <c r="Q19" s="51">
        <f>R19*S19</f>
        <v>0</v>
      </c>
      <c r="R19" s="45">
        <v>0.45</v>
      </c>
      <c r="S19" s="52">
        <f t="shared" si="1"/>
        <v>0</v>
      </c>
      <c r="T19" s="53">
        <v>100</v>
      </c>
      <c r="U19" s="43">
        <v>0</v>
      </c>
      <c r="V19" s="140" t="s">
        <v>21</v>
      </c>
      <c r="W19" s="203" t="s">
        <v>22</v>
      </c>
    </row>
    <row r="20" spans="1:23" ht="12" customHeight="1">
      <c r="A20" s="54" t="s">
        <v>22</v>
      </c>
      <c r="B20" s="42" t="s">
        <v>19</v>
      </c>
      <c r="C20" s="43">
        <v>0</v>
      </c>
      <c r="D20" s="63">
        <v>1500</v>
      </c>
      <c r="E20" s="44">
        <f t="shared" si="0"/>
        <v>0</v>
      </c>
      <c r="F20" s="45">
        <v>0.8</v>
      </c>
      <c r="G20" s="51">
        <f>E20*F20</f>
        <v>0</v>
      </c>
      <c r="H20" s="51"/>
      <c r="I20" s="51"/>
      <c r="J20" s="48"/>
      <c r="K20" s="64">
        <v>20</v>
      </c>
      <c r="L20" s="173"/>
      <c r="M20" s="64">
        <v>30</v>
      </c>
      <c r="N20" s="48"/>
      <c r="O20" s="51">
        <f>R20*S20</f>
        <v>0</v>
      </c>
      <c r="Q20" s="51"/>
      <c r="R20" s="55">
        <v>0.6</v>
      </c>
      <c r="S20" s="52">
        <f t="shared" si="1"/>
        <v>0</v>
      </c>
      <c r="T20" s="63">
        <v>3000</v>
      </c>
      <c r="U20" s="52">
        <v>0</v>
      </c>
      <c r="V20" s="51" t="s">
        <v>20</v>
      </c>
      <c r="W20" s="67" t="s">
        <v>22</v>
      </c>
    </row>
    <row r="21" spans="1:23" ht="12" customHeight="1">
      <c r="A21" s="132" t="s">
        <v>22</v>
      </c>
      <c r="B21" s="42" t="s">
        <v>23</v>
      </c>
      <c r="C21" s="43">
        <v>0</v>
      </c>
      <c r="D21" s="63">
        <v>250</v>
      </c>
      <c r="E21" s="44">
        <f t="shared" si="0"/>
        <v>0</v>
      </c>
      <c r="F21" s="45">
        <v>0.45</v>
      </c>
      <c r="G21" s="55"/>
      <c r="H21" s="51">
        <f>E21*F21</f>
        <v>0</v>
      </c>
      <c r="J21" s="48"/>
      <c r="K21" s="64">
        <v>20</v>
      </c>
      <c r="L21" s="173"/>
      <c r="M21" s="64">
        <v>20</v>
      </c>
      <c r="N21" s="50"/>
      <c r="P21" s="51">
        <f>R21*S21</f>
        <v>0</v>
      </c>
      <c r="Q21" s="51"/>
      <c r="R21" s="55">
        <v>1</v>
      </c>
      <c r="S21" s="52">
        <f t="shared" si="1"/>
        <v>0</v>
      </c>
      <c r="T21" s="63">
        <v>400</v>
      </c>
      <c r="U21" s="52">
        <v>0</v>
      </c>
      <c r="V21" s="51" t="s">
        <v>24</v>
      </c>
      <c r="W21" s="67" t="s">
        <v>22</v>
      </c>
    </row>
    <row r="22" spans="1:23" ht="12" customHeight="1">
      <c r="A22" s="54" t="s">
        <v>22</v>
      </c>
      <c r="B22" s="42" t="s">
        <v>19</v>
      </c>
      <c r="C22" s="43">
        <v>0</v>
      </c>
      <c r="D22" s="53">
        <v>1119</v>
      </c>
      <c r="E22" s="44">
        <f t="shared" si="0"/>
        <v>0</v>
      </c>
      <c r="F22" s="45">
        <v>0.8</v>
      </c>
      <c r="G22" s="55"/>
      <c r="I22" s="51">
        <f>E22*F22</f>
        <v>0</v>
      </c>
      <c r="J22" s="48"/>
      <c r="K22" s="64">
        <v>15</v>
      </c>
      <c r="L22" s="173"/>
      <c r="M22" s="64">
        <v>20</v>
      </c>
      <c r="N22" s="50"/>
      <c r="O22" s="51"/>
      <c r="P22" s="51"/>
      <c r="Q22" s="51">
        <f>R22*S22</f>
        <v>0</v>
      </c>
      <c r="R22" s="133">
        <v>0.8</v>
      </c>
      <c r="S22" s="134">
        <f t="shared" si="1"/>
        <v>0</v>
      </c>
      <c r="T22" s="135">
        <v>1700</v>
      </c>
      <c r="U22" s="134">
        <v>0</v>
      </c>
      <c r="V22" s="141" t="s">
        <v>19</v>
      </c>
      <c r="W22" s="144" t="s">
        <v>22</v>
      </c>
    </row>
    <row r="23" spans="1:23" ht="12" customHeight="1">
      <c r="A23" s="54" t="s">
        <v>22</v>
      </c>
      <c r="B23" s="42" t="s">
        <v>19</v>
      </c>
      <c r="C23" s="43">
        <v>0</v>
      </c>
      <c r="D23" s="63">
        <v>1200</v>
      </c>
      <c r="E23" s="44">
        <f t="shared" si="0"/>
        <v>0</v>
      </c>
      <c r="F23" s="45">
        <v>1</v>
      </c>
      <c r="G23" s="51">
        <f>E23*F23</f>
        <v>0</v>
      </c>
      <c r="H23" s="51"/>
      <c r="I23" s="51"/>
      <c r="J23" s="48"/>
      <c r="K23" s="64">
        <v>20</v>
      </c>
      <c r="L23" s="173"/>
      <c r="M23" s="64">
        <v>20</v>
      </c>
      <c r="N23" s="50"/>
      <c r="O23" s="51">
        <f>R23*S23</f>
        <v>0</v>
      </c>
      <c r="Q23" s="51"/>
      <c r="R23" s="55">
        <v>1</v>
      </c>
      <c r="S23" s="52">
        <f t="shared" si="1"/>
        <v>0</v>
      </c>
      <c r="T23" s="63">
        <v>400</v>
      </c>
      <c r="U23" s="52">
        <v>0</v>
      </c>
      <c r="V23" s="101" t="s">
        <v>24</v>
      </c>
      <c r="W23" s="67" t="s">
        <v>22</v>
      </c>
    </row>
    <row r="24" spans="1:23" ht="12" customHeight="1">
      <c r="A24" s="54" t="s">
        <v>22</v>
      </c>
      <c r="B24" s="42" t="s">
        <v>19</v>
      </c>
      <c r="C24" s="43">
        <v>0</v>
      </c>
      <c r="D24" s="63">
        <v>1200</v>
      </c>
      <c r="E24" s="44">
        <f t="shared" si="0"/>
        <v>0</v>
      </c>
      <c r="F24" s="45">
        <v>1</v>
      </c>
      <c r="G24" s="55"/>
      <c r="H24" s="51">
        <f>E24*F24</f>
        <v>0</v>
      </c>
      <c r="J24" s="48"/>
      <c r="K24" s="64">
        <v>20</v>
      </c>
      <c r="L24" s="173"/>
      <c r="M24" s="64">
        <v>20</v>
      </c>
      <c r="N24" s="50"/>
      <c r="P24" s="51">
        <f>R24*S24</f>
        <v>0</v>
      </c>
      <c r="Q24" s="51"/>
      <c r="R24" s="55">
        <v>1</v>
      </c>
      <c r="S24" s="52">
        <f t="shared" si="1"/>
        <v>0</v>
      </c>
      <c r="T24" s="63">
        <v>400</v>
      </c>
      <c r="U24" s="52">
        <v>0</v>
      </c>
      <c r="V24" s="101" t="s">
        <v>24</v>
      </c>
      <c r="W24" s="67" t="s">
        <v>22</v>
      </c>
    </row>
    <row r="25" spans="1:23" ht="12" customHeight="1">
      <c r="A25" s="65" t="s">
        <v>22</v>
      </c>
      <c r="B25" s="42" t="s">
        <v>19</v>
      </c>
      <c r="C25" s="43">
        <v>0</v>
      </c>
      <c r="D25" s="63">
        <v>1200</v>
      </c>
      <c r="E25" s="44">
        <f t="shared" si="0"/>
        <v>0</v>
      </c>
      <c r="F25" s="45">
        <v>1</v>
      </c>
      <c r="G25" s="55"/>
      <c r="I25" s="51">
        <f>E25*F25</f>
        <v>0</v>
      </c>
      <c r="J25" s="48"/>
      <c r="K25" s="64">
        <v>20</v>
      </c>
      <c r="L25" s="173"/>
      <c r="M25" s="64">
        <v>20</v>
      </c>
      <c r="N25" s="50"/>
      <c r="O25" s="51"/>
      <c r="P25" s="51"/>
      <c r="Q25" s="51">
        <f>R25*S25</f>
        <v>0</v>
      </c>
      <c r="R25" s="55">
        <v>1</v>
      </c>
      <c r="S25" s="52">
        <f t="shared" si="1"/>
        <v>0</v>
      </c>
      <c r="T25" s="63">
        <v>400</v>
      </c>
      <c r="U25" s="52">
        <v>0</v>
      </c>
      <c r="V25" s="101" t="s">
        <v>24</v>
      </c>
      <c r="W25" s="67" t="s">
        <v>22</v>
      </c>
    </row>
    <row r="26" spans="1:23" ht="12" customHeight="1">
      <c r="A26" s="175" t="s">
        <v>25</v>
      </c>
      <c r="B26" s="157"/>
      <c r="C26" s="69"/>
      <c r="D26" s="69"/>
      <c r="E26" s="70">
        <f>SUM(E8:E25)</f>
        <v>10100</v>
      </c>
      <c r="F26" s="71"/>
      <c r="G26" s="72">
        <f t="shared" ref="G26:I26" si="2">SUM(G8:G25)</f>
        <v>2550</v>
      </c>
      <c r="H26" s="51">
        <f t="shared" si="2"/>
        <v>1880</v>
      </c>
      <c r="I26" s="51">
        <f t="shared" si="2"/>
        <v>1462.5</v>
      </c>
      <c r="J26" s="69"/>
      <c r="K26" s="73"/>
      <c r="L26" s="174"/>
      <c r="M26" s="73"/>
      <c r="N26" s="74"/>
      <c r="O26" s="55">
        <f>SUM(O8:O25)</f>
        <v>1040</v>
      </c>
      <c r="P26" s="72">
        <f t="shared" ref="P26:Q26" si="3">SUM(P8:P25)</f>
        <v>1855</v>
      </c>
      <c r="Q26" s="55">
        <f t="shared" si="3"/>
        <v>2147.5</v>
      </c>
      <c r="R26" s="55"/>
      <c r="S26" s="75">
        <f>SUM(S8:S25)</f>
        <v>7900</v>
      </c>
      <c r="T26" s="75"/>
      <c r="U26" s="72"/>
      <c r="V26" s="73"/>
      <c r="W26" s="76"/>
    </row>
    <row r="27" spans="1:23" ht="12" customHeight="1">
      <c r="A27" s="77" t="s">
        <v>26</v>
      </c>
      <c r="B27" s="69"/>
      <c r="C27" s="69"/>
      <c r="D27" s="69"/>
      <c r="E27" s="69"/>
      <c r="F27" s="71"/>
      <c r="G27" s="78"/>
      <c r="H27" s="79"/>
      <c r="I27" s="79"/>
      <c r="J27" s="69"/>
      <c r="K27" s="80"/>
      <c r="L27" s="80"/>
      <c r="M27" s="80" t="s">
        <v>103</v>
      </c>
      <c r="N27" s="74"/>
      <c r="O27" s="80"/>
      <c r="P27" s="80"/>
      <c r="Q27" s="80"/>
      <c r="R27" s="78"/>
      <c r="S27" s="80"/>
      <c r="T27" s="80"/>
      <c r="U27" s="79"/>
      <c r="V27" s="80"/>
      <c r="W27" s="76"/>
    </row>
    <row r="28" spans="1:23" ht="12" customHeight="1" thickBot="1">
      <c r="A28" s="176"/>
      <c r="B28" s="177"/>
      <c r="C28" s="81"/>
      <c r="D28" s="81"/>
      <c r="E28" s="81"/>
      <c r="F28" s="82"/>
      <c r="G28" s="83"/>
      <c r="H28" s="84"/>
      <c r="I28" s="85"/>
      <c r="J28" s="81"/>
      <c r="K28" s="86"/>
      <c r="L28" s="86"/>
      <c r="M28" s="86"/>
      <c r="N28" s="87"/>
      <c r="O28" s="86"/>
      <c r="P28" s="86"/>
      <c r="Q28" s="86"/>
      <c r="R28" s="88"/>
      <c r="S28" s="86"/>
      <c r="T28" s="86"/>
      <c r="U28" s="84"/>
      <c r="V28" s="86"/>
      <c r="W28" s="89"/>
    </row>
    <row r="29" spans="1:23" ht="12" customHeight="1" thickTop="1">
      <c r="A29" s="90"/>
      <c r="B29" s="7"/>
      <c r="C29" s="7"/>
      <c r="D29" s="7"/>
      <c r="E29" s="7"/>
      <c r="F29" s="91"/>
      <c r="G29" s="20"/>
      <c r="J29" s="7"/>
      <c r="N29" s="8"/>
      <c r="O29" s="92"/>
      <c r="P29" s="92"/>
      <c r="Q29" s="92"/>
      <c r="V29" s="178"/>
      <c r="W29" s="179"/>
    </row>
    <row r="30" spans="1:23" ht="12" customHeight="1">
      <c r="A30" s="151" t="s">
        <v>27</v>
      </c>
      <c r="B30" s="93"/>
      <c r="C30" s="93"/>
      <c r="D30" s="93"/>
      <c r="E30" s="93"/>
      <c r="F30" s="94"/>
      <c r="G30" s="95"/>
      <c r="H30" s="93"/>
      <c r="I30" s="180" t="s">
        <v>16</v>
      </c>
      <c r="J30" s="164"/>
      <c r="K30" s="180" t="s">
        <v>17</v>
      </c>
      <c r="L30" s="164"/>
      <c r="M30" s="180" t="s">
        <v>18</v>
      </c>
      <c r="N30" s="162"/>
      <c r="O30" s="164"/>
      <c r="P30" s="101"/>
      <c r="Q30" s="42"/>
      <c r="R30" s="96"/>
      <c r="S30" s="97" t="s">
        <v>28</v>
      </c>
      <c r="T30" s="97"/>
      <c r="U30" s="97"/>
      <c r="V30" s="42"/>
      <c r="W30" s="98"/>
    </row>
    <row r="31" spans="1:23" ht="12" customHeight="1">
      <c r="A31" s="150" t="s">
        <v>67</v>
      </c>
      <c r="G31" s="99" t="s">
        <v>29</v>
      </c>
      <c r="H31" s="100"/>
      <c r="I31" s="165">
        <f>G26+O26</f>
        <v>3590</v>
      </c>
      <c r="J31" s="166"/>
      <c r="K31" s="165">
        <f>H26+P26</f>
        <v>3735</v>
      </c>
      <c r="L31" s="166"/>
      <c r="M31" s="165">
        <f>I26+Q26</f>
        <v>3610</v>
      </c>
      <c r="N31" s="167"/>
      <c r="O31" s="166"/>
      <c r="P31" s="158"/>
      <c r="Q31" s="157"/>
      <c r="R31" s="96"/>
      <c r="S31" s="168" t="s">
        <v>68</v>
      </c>
      <c r="T31" s="169"/>
      <c r="U31" s="169"/>
      <c r="V31" s="169"/>
      <c r="W31" s="170"/>
    </row>
    <row r="32" spans="1:23" ht="12" customHeight="1">
      <c r="A32" s="15"/>
      <c r="G32" s="171" t="s">
        <v>30</v>
      </c>
      <c r="H32" s="157"/>
      <c r="I32" s="102"/>
      <c r="J32" s="103"/>
      <c r="K32" s="106"/>
      <c r="L32" s="103"/>
      <c r="M32" s="106"/>
      <c r="N32" s="105"/>
      <c r="O32" s="103"/>
      <c r="P32" s="160">
        <v>500</v>
      </c>
      <c r="Q32" s="157"/>
      <c r="R32" s="96"/>
      <c r="S32" s="107"/>
      <c r="T32" s="107"/>
      <c r="U32" s="107"/>
      <c r="V32" s="108"/>
      <c r="W32" s="76"/>
    </row>
    <row r="33" spans="1:23" ht="12" customHeight="1">
      <c r="A33" s="109" t="s">
        <v>31</v>
      </c>
      <c r="G33" s="99" t="s">
        <v>32</v>
      </c>
      <c r="H33" s="100"/>
      <c r="I33" s="110"/>
      <c r="J33" s="42"/>
      <c r="K33" s="101"/>
      <c r="L33" s="42"/>
      <c r="M33" s="101"/>
      <c r="N33" s="111"/>
      <c r="O33" s="42"/>
      <c r="P33" s="156">
        <f>I31+K31+M31+P32</f>
        <v>11435</v>
      </c>
      <c r="Q33" s="157"/>
      <c r="R33" s="96" t="s">
        <v>33</v>
      </c>
      <c r="S33" s="42"/>
      <c r="T33" s="42"/>
      <c r="U33" s="42"/>
      <c r="V33" s="108"/>
      <c r="W33" s="76"/>
    </row>
    <row r="34" spans="1:23" ht="12" customHeight="1">
      <c r="A34" s="15" t="s">
        <v>42</v>
      </c>
      <c r="G34" s="99" t="s">
        <v>34</v>
      </c>
      <c r="H34" s="100"/>
      <c r="I34" s="158"/>
      <c r="J34" s="157"/>
      <c r="K34" s="158"/>
      <c r="L34" s="157"/>
      <c r="M34" s="158"/>
      <c r="N34" s="159"/>
      <c r="O34" s="157"/>
      <c r="P34" s="160">
        <v>0.8</v>
      </c>
      <c r="Q34" s="157"/>
      <c r="R34" s="96" t="s">
        <v>35</v>
      </c>
      <c r="S34" s="42"/>
      <c r="T34" s="42"/>
      <c r="U34" s="42"/>
      <c r="V34" s="108"/>
      <c r="W34" s="76"/>
    </row>
    <row r="35" spans="1:23" ht="12" customHeight="1">
      <c r="A35" s="15"/>
      <c r="G35" s="161" t="s">
        <v>36</v>
      </c>
      <c r="H35" s="162"/>
      <c r="I35" s="162"/>
      <c r="J35" s="112"/>
      <c r="K35" s="113"/>
      <c r="L35" s="112"/>
      <c r="M35" s="113"/>
      <c r="N35" s="114"/>
      <c r="O35" s="112"/>
      <c r="P35" s="163">
        <f>P33/P34</f>
        <v>14293.75</v>
      </c>
      <c r="Q35" s="164"/>
      <c r="R35" s="115" t="s">
        <v>37</v>
      </c>
      <c r="S35" s="112"/>
      <c r="T35" s="112"/>
      <c r="U35" s="112"/>
      <c r="V35" s="116"/>
      <c r="W35" s="56"/>
    </row>
    <row r="36" spans="1:23" ht="12" customHeight="1" thickBot="1">
      <c r="A36" s="117"/>
      <c r="B36" s="118"/>
      <c r="C36" s="118"/>
      <c r="D36" s="118"/>
      <c r="E36" s="118"/>
      <c r="F36" s="119"/>
      <c r="G36" s="120" t="s">
        <v>38</v>
      </c>
      <c r="H36" s="121"/>
      <c r="I36" s="152"/>
      <c r="J36" s="153"/>
      <c r="K36" s="152"/>
      <c r="L36" s="153"/>
      <c r="M36" s="152"/>
      <c r="N36" s="154"/>
      <c r="O36" s="153"/>
      <c r="P36" s="155">
        <f>ROUNDUP(P33/575,1)</f>
        <v>19.900000000000002</v>
      </c>
      <c r="Q36" s="153"/>
      <c r="R36" s="122" t="s">
        <v>39</v>
      </c>
      <c r="S36" s="123"/>
      <c r="T36" s="123"/>
      <c r="U36" s="123"/>
      <c r="V36" s="124"/>
      <c r="W36" s="125"/>
    </row>
    <row r="37" spans="1:23" ht="12" customHeight="1">
      <c r="A37" s="18"/>
      <c r="G37" s="20"/>
      <c r="J37" s="7"/>
      <c r="N37" s="8"/>
      <c r="R37" s="126"/>
      <c r="W37" s="21"/>
    </row>
    <row r="38" spans="1:23" ht="12" customHeight="1" thickBot="1">
      <c r="A38" s="117"/>
      <c r="B38" s="118"/>
      <c r="C38" s="118"/>
      <c r="D38" s="118"/>
      <c r="E38" s="118"/>
      <c r="F38" s="119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9"/>
      <c r="S38" s="118"/>
      <c r="T38" s="118"/>
      <c r="U38" s="118"/>
      <c r="V38" s="118"/>
      <c r="W38" s="127"/>
    </row>
    <row r="39" spans="1:23" ht="12" customHeight="1"/>
    <row r="40" spans="1:23" ht="12" customHeight="1"/>
    <row r="41" spans="1:23" ht="12" customHeight="1"/>
    <row r="42" spans="1:23" ht="34.5" customHeight="1">
      <c r="C42" s="128"/>
    </row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>
      <c r="G49" s="20"/>
      <c r="J49" s="7"/>
      <c r="N49" s="8"/>
      <c r="R49" s="126"/>
    </row>
    <row r="50" spans="7:18">
      <c r="G50" s="20"/>
      <c r="J50" s="7"/>
      <c r="N50" s="8"/>
      <c r="R50" s="126"/>
    </row>
    <row r="51" spans="7:18">
      <c r="G51" s="20"/>
      <c r="J51" s="7"/>
      <c r="N51" s="8"/>
      <c r="R51" s="126"/>
    </row>
    <row r="52" spans="7:18">
      <c r="G52" s="20"/>
      <c r="J52" s="7"/>
      <c r="N52" s="8"/>
      <c r="R52" s="126"/>
    </row>
    <row r="53" spans="7:18">
      <c r="G53" s="20"/>
      <c r="J53" s="7"/>
      <c r="N53" s="8"/>
      <c r="R53" s="126"/>
    </row>
    <row r="54" spans="7:18">
      <c r="G54" s="20"/>
      <c r="J54" s="7"/>
      <c r="N54" s="8"/>
      <c r="R54" s="126"/>
    </row>
    <row r="55" spans="7:18">
      <c r="G55" s="20"/>
      <c r="J55" s="7"/>
      <c r="N55" s="8"/>
      <c r="R55" s="126"/>
    </row>
    <row r="56" spans="7:18">
      <c r="G56" s="20"/>
      <c r="J56" s="7"/>
      <c r="N56" s="8"/>
      <c r="R56" s="126"/>
    </row>
    <row r="57" spans="7:18">
      <c r="G57" s="20"/>
      <c r="J57" s="7"/>
      <c r="N57" s="8"/>
      <c r="R57" s="126"/>
    </row>
    <row r="58" spans="7:18">
      <c r="G58" s="20"/>
      <c r="J58" s="7"/>
      <c r="N58" s="8"/>
      <c r="R58" s="126"/>
    </row>
    <row r="59" spans="7:18">
      <c r="G59" s="20"/>
      <c r="J59" s="7"/>
      <c r="N59" s="8"/>
      <c r="R59" s="126"/>
    </row>
    <row r="60" spans="7:18">
      <c r="G60" s="20"/>
      <c r="J60" s="7"/>
      <c r="N60" s="8"/>
      <c r="R60" s="126"/>
    </row>
    <row r="61" spans="7:18">
      <c r="G61" s="20"/>
      <c r="J61" s="7"/>
      <c r="N61" s="8"/>
      <c r="R61" s="126"/>
    </row>
    <row r="62" spans="7:18">
      <c r="G62" s="20"/>
      <c r="J62" s="7"/>
      <c r="N62" s="8"/>
      <c r="R62" s="126"/>
    </row>
    <row r="63" spans="7:18">
      <c r="G63" s="20"/>
      <c r="J63" s="7"/>
      <c r="N63" s="8"/>
      <c r="R63" s="126"/>
    </row>
    <row r="64" spans="7:18">
      <c r="G64" s="20"/>
      <c r="J64" s="7"/>
      <c r="N64" s="8"/>
      <c r="R64" s="126"/>
    </row>
    <row r="65" spans="7:18">
      <c r="G65" s="20"/>
      <c r="J65" s="7"/>
      <c r="N65" s="8"/>
      <c r="R65" s="126"/>
    </row>
    <row r="66" spans="7:18">
      <c r="G66" s="20"/>
      <c r="J66" s="7"/>
      <c r="N66" s="8"/>
      <c r="R66" s="126"/>
    </row>
    <row r="67" spans="7:18">
      <c r="G67" s="20"/>
      <c r="J67" s="7"/>
      <c r="N67" s="8"/>
      <c r="R67" s="126"/>
    </row>
    <row r="68" spans="7:18">
      <c r="G68" s="20"/>
      <c r="J68" s="7"/>
      <c r="N68" s="8"/>
      <c r="R68" s="126"/>
    </row>
    <row r="69" spans="7:18">
      <c r="G69" s="20"/>
      <c r="J69" s="7"/>
      <c r="N69" s="8"/>
      <c r="R69" s="126"/>
    </row>
    <row r="70" spans="7:18">
      <c r="G70" s="20"/>
      <c r="J70" s="7"/>
      <c r="N70" s="8"/>
      <c r="R70" s="126"/>
    </row>
    <row r="71" spans="7:18">
      <c r="G71" s="20"/>
      <c r="J71" s="7"/>
      <c r="N71" s="8"/>
      <c r="R71" s="126"/>
    </row>
    <row r="72" spans="7:18">
      <c r="G72" s="20"/>
      <c r="J72" s="7"/>
      <c r="N72" s="8"/>
      <c r="R72" s="126"/>
    </row>
    <row r="73" spans="7:18">
      <c r="G73" s="20"/>
      <c r="J73" s="7"/>
      <c r="N73" s="8"/>
      <c r="R73" s="126"/>
    </row>
    <row r="74" spans="7:18">
      <c r="G74" s="20"/>
      <c r="J74" s="7"/>
      <c r="N74" s="8"/>
      <c r="R74" s="126"/>
    </row>
    <row r="75" spans="7:18">
      <c r="G75" s="20"/>
      <c r="J75" s="7"/>
      <c r="N75" s="8"/>
      <c r="R75" s="126"/>
    </row>
    <row r="76" spans="7:18">
      <c r="G76" s="20"/>
      <c r="J76" s="7"/>
      <c r="N76" s="8"/>
      <c r="R76" s="126"/>
    </row>
    <row r="77" spans="7:18">
      <c r="G77" s="20"/>
      <c r="J77" s="7"/>
      <c r="N77" s="8"/>
      <c r="R77" s="126"/>
    </row>
    <row r="78" spans="7:18">
      <c r="G78" s="20"/>
      <c r="J78" s="7"/>
      <c r="N78" s="8"/>
      <c r="R78" s="126"/>
    </row>
    <row r="79" spans="7:18">
      <c r="G79" s="20"/>
      <c r="J79" s="7"/>
      <c r="N79" s="8"/>
      <c r="R79" s="126"/>
    </row>
    <row r="80" spans="7:18">
      <c r="G80" s="20"/>
      <c r="J80" s="7"/>
      <c r="N80" s="8"/>
      <c r="R80" s="126"/>
    </row>
    <row r="81" spans="7:18">
      <c r="G81" s="20"/>
      <c r="J81" s="7"/>
      <c r="N81" s="8"/>
      <c r="R81" s="126"/>
    </row>
    <row r="82" spans="7:18">
      <c r="G82" s="20"/>
      <c r="J82" s="7"/>
      <c r="N82" s="8"/>
      <c r="R82" s="126"/>
    </row>
    <row r="83" spans="7:18">
      <c r="G83" s="20"/>
      <c r="J83" s="7"/>
      <c r="N83" s="8"/>
      <c r="R83" s="126"/>
    </row>
    <row r="84" spans="7:18">
      <c r="G84" s="20"/>
      <c r="J84" s="7"/>
      <c r="N84" s="8"/>
      <c r="R84" s="126"/>
    </row>
    <row r="85" spans="7:18">
      <c r="G85" s="20"/>
      <c r="J85" s="7"/>
      <c r="N85" s="8"/>
      <c r="R85" s="126"/>
    </row>
    <row r="86" spans="7:18">
      <c r="G86" s="20"/>
      <c r="J86" s="7"/>
      <c r="N86" s="8"/>
      <c r="R86" s="126"/>
    </row>
    <row r="87" spans="7:18">
      <c r="G87" s="20"/>
      <c r="J87" s="7"/>
      <c r="N87" s="8"/>
      <c r="R87" s="126"/>
    </row>
    <row r="88" spans="7:18">
      <c r="G88" s="20"/>
      <c r="J88" s="7"/>
      <c r="N88" s="8"/>
      <c r="R88" s="126"/>
    </row>
    <row r="89" spans="7:18">
      <c r="G89" s="20"/>
      <c r="J89" s="7"/>
      <c r="N89" s="8"/>
      <c r="R89" s="126"/>
    </row>
    <row r="90" spans="7:18">
      <c r="G90" s="20"/>
      <c r="J90" s="7"/>
      <c r="N90" s="8"/>
      <c r="R90" s="126"/>
    </row>
    <row r="91" spans="7:18">
      <c r="G91" s="20"/>
      <c r="J91" s="7"/>
      <c r="N91" s="8"/>
      <c r="R91" s="126"/>
    </row>
    <row r="92" spans="7:18">
      <c r="G92" s="20"/>
      <c r="J92" s="7"/>
      <c r="N92" s="8"/>
      <c r="R92" s="126"/>
    </row>
    <row r="93" spans="7:18">
      <c r="G93" s="20"/>
      <c r="J93" s="7"/>
      <c r="N93" s="8"/>
      <c r="R93" s="126"/>
    </row>
    <row r="94" spans="7:18">
      <c r="G94" s="20"/>
      <c r="J94" s="7"/>
      <c r="N94" s="8"/>
      <c r="R94" s="126"/>
    </row>
    <row r="95" spans="7:18">
      <c r="G95" s="20"/>
      <c r="J95" s="7"/>
      <c r="N95" s="8"/>
      <c r="R95" s="126"/>
    </row>
    <row r="96" spans="7:18">
      <c r="G96" s="20"/>
      <c r="J96" s="7"/>
      <c r="N96" s="8"/>
      <c r="R96" s="126"/>
    </row>
    <row r="97" spans="7:18">
      <c r="G97" s="20"/>
      <c r="J97" s="7"/>
      <c r="N97" s="8"/>
      <c r="R97" s="126"/>
    </row>
    <row r="98" spans="7:18">
      <c r="G98" s="20"/>
      <c r="J98" s="7"/>
      <c r="N98" s="8"/>
      <c r="R98" s="126"/>
    </row>
    <row r="99" spans="7:18">
      <c r="G99" s="20"/>
      <c r="J99" s="7"/>
      <c r="N99" s="8"/>
      <c r="R99" s="126"/>
    </row>
    <row r="100" spans="7:18">
      <c r="G100" s="20"/>
      <c r="J100" s="7"/>
      <c r="N100" s="8"/>
      <c r="R100" s="126"/>
    </row>
  </sheetData>
  <mergeCells count="33">
    <mergeCell ref="I36:J36"/>
    <mergeCell ref="K36:L36"/>
    <mergeCell ref="M36:O36"/>
    <mergeCell ref="P36:Q36"/>
    <mergeCell ref="P33:Q33"/>
    <mergeCell ref="I34:J34"/>
    <mergeCell ref="K34:L34"/>
    <mergeCell ref="M34:O34"/>
    <mergeCell ref="P34:Q34"/>
    <mergeCell ref="G35:I35"/>
    <mergeCell ref="P35:Q35"/>
    <mergeCell ref="I31:J31"/>
    <mergeCell ref="K31:L31"/>
    <mergeCell ref="M31:O31"/>
    <mergeCell ref="P31:Q31"/>
    <mergeCell ref="S31:W31"/>
    <mergeCell ref="G32:H32"/>
    <mergeCell ref="P32:Q32"/>
    <mergeCell ref="L8:L26"/>
    <mergeCell ref="A26:B26"/>
    <mergeCell ref="A28:B28"/>
    <mergeCell ref="V29:W29"/>
    <mergeCell ref="I30:J30"/>
    <mergeCell ref="K30:L30"/>
    <mergeCell ref="M30:O30"/>
    <mergeCell ref="A1:W1"/>
    <mergeCell ref="B2:D2"/>
    <mergeCell ref="B3:D3"/>
    <mergeCell ref="B4:D4"/>
    <mergeCell ref="Q4:R4"/>
    <mergeCell ref="G6:I6"/>
    <mergeCell ref="J6:N6"/>
    <mergeCell ref="O6:Q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DB-A</vt:lpstr>
      <vt:lpstr>DB-B</vt:lpstr>
      <vt:lpstr>DB-C</vt:lpstr>
      <vt:lpstr>DB-D</vt:lpstr>
      <vt:lpstr>DB-E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2025-08-27T01:15:43Z</dcterms:created>
  <dcterms:modified xsi:type="dcterms:W3CDTF">2025-09-23T21:46:14Z</dcterms:modified>
</cp:coreProperties>
</file>