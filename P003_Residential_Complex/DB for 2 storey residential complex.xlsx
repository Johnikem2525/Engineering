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okoye\Downloads\Light Design\"/>
    </mc:Choice>
  </mc:AlternateContent>
  <xr:revisionPtr revIDLastSave="0" documentId="13_ncr:1_{0A271114-B8A2-4860-B3F1-128FD9D00BF5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B-A" sheetId="1" r:id="rId1"/>
    <sheet name="DB-B" sheetId="15" r:id="rId2"/>
    <sheet name="DB-C" sheetId="2" r:id="rId3"/>
    <sheet name="DB-D" sheetId="16" r:id="rId4"/>
    <sheet name="DB-E" sheetId="17" r:id="rId5"/>
    <sheet name="DB-G" sheetId="18" r:id="rId6"/>
    <sheet name="DB-H" sheetId="19" r:id="rId7"/>
    <sheet name="DB-J" sheetId="20" r:id="rId8"/>
    <sheet name="DB-K" sheetId="2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8" l="1"/>
  <c r="S25" i="21"/>
  <c r="Q25" i="21" s="1"/>
  <c r="E25" i="21"/>
  <c r="I25" i="21" s="1"/>
  <c r="S24" i="21"/>
  <c r="P24" i="21" s="1"/>
  <c r="E24" i="21"/>
  <c r="H24" i="21" s="1"/>
  <c r="S23" i="21"/>
  <c r="O23" i="21" s="1"/>
  <c r="E23" i="21"/>
  <c r="G23" i="21" s="1"/>
  <c r="S22" i="21"/>
  <c r="Q22" i="21" s="1"/>
  <c r="E22" i="21"/>
  <c r="I22" i="21" s="1"/>
  <c r="S21" i="21"/>
  <c r="P21" i="21" s="1"/>
  <c r="E21" i="21"/>
  <c r="H21" i="21" s="1"/>
  <c r="S20" i="21"/>
  <c r="O20" i="21" s="1"/>
  <c r="E20" i="21"/>
  <c r="G20" i="21" s="1"/>
  <c r="S19" i="21"/>
  <c r="Q19" i="21" s="1"/>
  <c r="E19" i="21"/>
  <c r="I19" i="21" s="1"/>
  <c r="S18" i="21"/>
  <c r="P18" i="21" s="1"/>
  <c r="E18" i="21"/>
  <c r="H18" i="21" s="1"/>
  <c r="S17" i="21"/>
  <c r="O17" i="21" s="1"/>
  <c r="E17" i="21"/>
  <c r="G17" i="21" s="1"/>
  <c r="S16" i="21"/>
  <c r="Q16" i="21" s="1"/>
  <c r="E16" i="21"/>
  <c r="I16" i="21" s="1"/>
  <c r="S15" i="21"/>
  <c r="P15" i="21" s="1"/>
  <c r="E15" i="21"/>
  <c r="H15" i="21" s="1"/>
  <c r="S14" i="21"/>
  <c r="O14" i="21" s="1"/>
  <c r="E14" i="21"/>
  <c r="G14" i="21" s="1"/>
  <c r="S13" i="21"/>
  <c r="Q13" i="21" s="1"/>
  <c r="E13" i="21"/>
  <c r="I13" i="21" s="1"/>
  <c r="S12" i="21"/>
  <c r="P12" i="21" s="1"/>
  <c r="E12" i="21"/>
  <c r="H12" i="21" s="1"/>
  <c r="S11" i="21"/>
  <c r="O11" i="21" s="1"/>
  <c r="E11" i="21"/>
  <c r="G11" i="21" s="1"/>
  <c r="S10" i="21"/>
  <c r="Q10" i="21" s="1"/>
  <c r="E10" i="21"/>
  <c r="I10" i="21" s="1"/>
  <c r="I26" i="21" s="1"/>
  <c r="S9" i="21"/>
  <c r="P9" i="21" s="1"/>
  <c r="E9" i="21"/>
  <c r="H9" i="21" s="1"/>
  <c r="S8" i="21"/>
  <c r="E8" i="21"/>
  <c r="G8" i="21" s="1"/>
  <c r="S8" i="20"/>
  <c r="S25" i="20"/>
  <c r="Q25" i="20"/>
  <c r="E25" i="20"/>
  <c r="I25" i="20" s="1"/>
  <c r="S24" i="20"/>
  <c r="P24" i="20"/>
  <c r="E24" i="20"/>
  <c r="H24" i="20" s="1"/>
  <c r="S23" i="20"/>
  <c r="O23" i="20" s="1"/>
  <c r="E23" i="20"/>
  <c r="G23" i="20" s="1"/>
  <c r="S22" i="20"/>
  <c r="Q22" i="20"/>
  <c r="E22" i="20"/>
  <c r="I22" i="20" s="1"/>
  <c r="S21" i="20"/>
  <c r="P21" i="20"/>
  <c r="E21" i="20"/>
  <c r="H21" i="20" s="1"/>
  <c r="S20" i="20"/>
  <c r="O20" i="20" s="1"/>
  <c r="E20" i="20"/>
  <c r="G20" i="20" s="1"/>
  <c r="S19" i="20"/>
  <c r="Q19" i="20" s="1"/>
  <c r="E19" i="20"/>
  <c r="I19" i="20" s="1"/>
  <c r="S18" i="20"/>
  <c r="P18" i="20"/>
  <c r="E18" i="20"/>
  <c r="H18" i="20" s="1"/>
  <c r="S17" i="20"/>
  <c r="O17" i="20"/>
  <c r="E17" i="20"/>
  <c r="G17" i="20" s="1"/>
  <c r="S16" i="20"/>
  <c r="Q16" i="20" s="1"/>
  <c r="E16" i="20"/>
  <c r="I16" i="20" s="1"/>
  <c r="S15" i="20"/>
  <c r="P15" i="20"/>
  <c r="E15" i="20"/>
  <c r="H15" i="20" s="1"/>
  <c r="S14" i="20"/>
  <c r="O14" i="20"/>
  <c r="E14" i="20"/>
  <c r="G14" i="20" s="1"/>
  <c r="S13" i="20"/>
  <c r="Q13" i="20" s="1"/>
  <c r="E13" i="20"/>
  <c r="I13" i="20" s="1"/>
  <c r="S12" i="20"/>
  <c r="P12" i="20" s="1"/>
  <c r="E12" i="20"/>
  <c r="H12" i="20" s="1"/>
  <c r="S11" i="20"/>
  <c r="O11" i="20"/>
  <c r="E11" i="20"/>
  <c r="G11" i="20" s="1"/>
  <c r="S10" i="20"/>
  <c r="Q10" i="20" s="1"/>
  <c r="E10" i="20"/>
  <c r="I10" i="20" s="1"/>
  <c r="S9" i="20"/>
  <c r="P9" i="20" s="1"/>
  <c r="E9" i="20"/>
  <c r="H9" i="20" s="1"/>
  <c r="E8" i="20"/>
  <c r="G8" i="20" s="1"/>
  <c r="S25" i="19"/>
  <c r="Q25" i="19"/>
  <c r="E25" i="19"/>
  <c r="I25" i="19" s="1"/>
  <c r="S24" i="19"/>
  <c r="P24" i="19" s="1"/>
  <c r="E24" i="19"/>
  <c r="H24" i="19" s="1"/>
  <c r="S23" i="19"/>
  <c r="O23" i="19" s="1"/>
  <c r="E23" i="19"/>
  <c r="G23" i="19" s="1"/>
  <c r="S22" i="19"/>
  <c r="Q22" i="19"/>
  <c r="E22" i="19"/>
  <c r="I22" i="19" s="1"/>
  <c r="S21" i="19"/>
  <c r="P21" i="19"/>
  <c r="E21" i="19"/>
  <c r="H21" i="19" s="1"/>
  <c r="S20" i="19"/>
  <c r="O20" i="19" s="1"/>
  <c r="E20" i="19"/>
  <c r="G20" i="19" s="1"/>
  <c r="S19" i="19"/>
  <c r="Q19" i="19" s="1"/>
  <c r="E19" i="19"/>
  <c r="I19" i="19" s="1"/>
  <c r="S18" i="19"/>
  <c r="P18" i="19"/>
  <c r="E18" i="19"/>
  <c r="H18" i="19" s="1"/>
  <c r="S17" i="19"/>
  <c r="O17" i="19"/>
  <c r="E17" i="19"/>
  <c r="G17" i="19" s="1"/>
  <c r="S16" i="19"/>
  <c r="Q16" i="19" s="1"/>
  <c r="E16" i="19"/>
  <c r="I16" i="19" s="1"/>
  <c r="S15" i="19"/>
  <c r="P15" i="19"/>
  <c r="E15" i="19"/>
  <c r="H15" i="19" s="1"/>
  <c r="S14" i="19"/>
  <c r="O14" i="19"/>
  <c r="E14" i="19"/>
  <c r="G14" i="19" s="1"/>
  <c r="Q13" i="19"/>
  <c r="E13" i="19"/>
  <c r="I13" i="19" s="1"/>
  <c r="S12" i="19"/>
  <c r="P12" i="19" s="1"/>
  <c r="E12" i="19"/>
  <c r="H12" i="19" s="1"/>
  <c r="S11" i="19"/>
  <c r="O11" i="19" s="1"/>
  <c r="E11" i="19"/>
  <c r="G11" i="19" s="1"/>
  <c r="Q10" i="19"/>
  <c r="E10" i="19"/>
  <c r="I10" i="19" s="1"/>
  <c r="S9" i="19"/>
  <c r="P9" i="19" s="1"/>
  <c r="E9" i="19"/>
  <c r="H9" i="19" s="1"/>
  <c r="S8" i="19"/>
  <c r="E8" i="19"/>
  <c r="G8" i="19" s="1"/>
  <c r="S25" i="18"/>
  <c r="Q25" i="18" s="1"/>
  <c r="E25" i="18"/>
  <c r="I25" i="18" s="1"/>
  <c r="S24" i="18"/>
  <c r="P24" i="18" s="1"/>
  <c r="E24" i="18"/>
  <c r="H24" i="18" s="1"/>
  <c r="S23" i="18"/>
  <c r="O23" i="18"/>
  <c r="E23" i="18"/>
  <c r="G23" i="18" s="1"/>
  <c r="S22" i="18"/>
  <c r="Q22" i="18"/>
  <c r="E22" i="18"/>
  <c r="I22" i="18" s="1"/>
  <c r="S21" i="18"/>
  <c r="P21" i="18" s="1"/>
  <c r="E21" i="18"/>
  <c r="H21" i="18" s="1"/>
  <c r="S20" i="18"/>
  <c r="O20" i="18" s="1"/>
  <c r="E20" i="18"/>
  <c r="G20" i="18" s="1"/>
  <c r="S19" i="18"/>
  <c r="Q19" i="18" s="1"/>
  <c r="E19" i="18"/>
  <c r="I19" i="18" s="1"/>
  <c r="S18" i="18"/>
  <c r="P18" i="18" s="1"/>
  <c r="E18" i="18"/>
  <c r="H18" i="18" s="1"/>
  <c r="S17" i="18"/>
  <c r="O17" i="18" s="1"/>
  <c r="E17" i="18"/>
  <c r="G17" i="18" s="1"/>
  <c r="S16" i="18"/>
  <c r="Q16" i="18" s="1"/>
  <c r="E16" i="18"/>
  <c r="I16" i="18" s="1"/>
  <c r="S15" i="18"/>
  <c r="P15" i="18" s="1"/>
  <c r="E15" i="18"/>
  <c r="H15" i="18" s="1"/>
  <c r="S14" i="18"/>
  <c r="O14" i="18" s="1"/>
  <c r="E14" i="18"/>
  <c r="G14" i="18" s="1"/>
  <c r="S13" i="18"/>
  <c r="Q13" i="18" s="1"/>
  <c r="E13" i="18"/>
  <c r="I13" i="18" s="1"/>
  <c r="S12" i="18"/>
  <c r="P12" i="18" s="1"/>
  <c r="H12" i="18"/>
  <c r="S11" i="18"/>
  <c r="O11" i="18"/>
  <c r="E11" i="18"/>
  <c r="G11" i="18" s="1"/>
  <c r="S10" i="18"/>
  <c r="Q10" i="18" s="1"/>
  <c r="E10" i="18"/>
  <c r="I10" i="18" s="1"/>
  <c r="S9" i="18"/>
  <c r="P9" i="18" s="1"/>
  <c r="E9" i="18"/>
  <c r="H9" i="18" s="1"/>
  <c r="S8" i="18"/>
  <c r="E8" i="18"/>
  <c r="G8" i="18" s="1"/>
  <c r="S25" i="17"/>
  <c r="Q25" i="17" s="1"/>
  <c r="E25" i="17"/>
  <c r="I25" i="17" s="1"/>
  <c r="S24" i="17"/>
  <c r="P24" i="17" s="1"/>
  <c r="E24" i="17"/>
  <c r="H24" i="17" s="1"/>
  <c r="S23" i="17"/>
  <c r="O23" i="17" s="1"/>
  <c r="E23" i="17"/>
  <c r="G23" i="17" s="1"/>
  <c r="S22" i="17"/>
  <c r="Q22" i="17" s="1"/>
  <c r="E22" i="17"/>
  <c r="I22" i="17" s="1"/>
  <c r="S21" i="17"/>
  <c r="P21" i="17" s="1"/>
  <c r="E21" i="17"/>
  <c r="H21" i="17" s="1"/>
  <c r="S20" i="17"/>
  <c r="O20" i="17" s="1"/>
  <c r="E20" i="17"/>
  <c r="G20" i="17" s="1"/>
  <c r="S19" i="17"/>
  <c r="Q19" i="17" s="1"/>
  <c r="E19" i="17"/>
  <c r="I19" i="17" s="1"/>
  <c r="S18" i="17"/>
  <c r="P18" i="17" s="1"/>
  <c r="E18" i="17"/>
  <c r="H18" i="17" s="1"/>
  <c r="S17" i="17"/>
  <c r="O17" i="17" s="1"/>
  <c r="E17" i="17"/>
  <c r="G17" i="17" s="1"/>
  <c r="S16" i="17"/>
  <c r="Q16" i="17" s="1"/>
  <c r="E16" i="17"/>
  <c r="I16" i="17" s="1"/>
  <c r="S15" i="17"/>
  <c r="P15" i="17" s="1"/>
  <c r="E15" i="17"/>
  <c r="H15" i="17" s="1"/>
  <c r="S14" i="17"/>
  <c r="O14" i="17" s="1"/>
  <c r="E14" i="17"/>
  <c r="G14" i="17" s="1"/>
  <c r="S13" i="17"/>
  <c r="Q13" i="17" s="1"/>
  <c r="E13" i="17"/>
  <c r="I13" i="17" s="1"/>
  <c r="S12" i="17"/>
  <c r="P12" i="17" s="1"/>
  <c r="E12" i="17"/>
  <c r="H12" i="17" s="1"/>
  <c r="S11" i="17"/>
  <c r="O11" i="17" s="1"/>
  <c r="E11" i="17"/>
  <c r="G11" i="17" s="1"/>
  <c r="S10" i="17"/>
  <c r="Q10" i="17" s="1"/>
  <c r="E10" i="17"/>
  <c r="I10" i="17" s="1"/>
  <c r="I26" i="17" s="1"/>
  <c r="S9" i="17"/>
  <c r="P9" i="17" s="1"/>
  <c r="E9" i="17"/>
  <c r="H9" i="17" s="1"/>
  <c r="S8" i="17"/>
  <c r="E8" i="17"/>
  <c r="G8" i="17" s="1"/>
  <c r="G26" i="17" s="1"/>
  <c r="S25" i="16"/>
  <c r="Q25" i="16"/>
  <c r="E25" i="16"/>
  <c r="I25" i="16" s="1"/>
  <c r="S24" i="16"/>
  <c r="P24" i="16" s="1"/>
  <c r="E24" i="16"/>
  <c r="H24" i="16" s="1"/>
  <c r="S23" i="16"/>
  <c r="O23" i="16"/>
  <c r="E23" i="16"/>
  <c r="G23" i="16" s="1"/>
  <c r="S22" i="16"/>
  <c r="Q22" i="16" s="1"/>
  <c r="E22" i="16"/>
  <c r="I22" i="16" s="1"/>
  <c r="S21" i="16"/>
  <c r="P21" i="16"/>
  <c r="E21" i="16"/>
  <c r="H21" i="16" s="1"/>
  <c r="S20" i="16"/>
  <c r="O20" i="16" s="1"/>
  <c r="E20" i="16"/>
  <c r="G20" i="16" s="1"/>
  <c r="S19" i="16"/>
  <c r="Q19" i="16"/>
  <c r="E19" i="16"/>
  <c r="I19" i="16" s="1"/>
  <c r="S18" i="16"/>
  <c r="P18" i="16" s="1"/>
  <c r="E18" i="16"/>
  <c r="H18" i="16" s="1"/>
  <c r="S17" i="16"/>
  <c r="O17" i="16" s="1"/>
  <c r="E17" i="16"/>
  <c r="G17" i="16" s="1"/>
  <c r="S16" i="16"/>
  <c r="Q16" i="16" s="1"/>
  <c r="E16" i="16"/>
  <c r="I16" i="16" s="1"/>
  <c r="S15" i="16"/>
  <c r="P15" i="16"/>
  <c r="E15" i="16"/>
  <c r="H15" i="16" s="1"/>
  <c r="S14" i="16"/>
  <c r="O14" i="16" s="1"/>
  <c r="E14" i="16"/>
  <c r="G14" i="16" s="1"/>
  <c r="S13" i="16"/>
  <c r="Q13" i="16" s="1"/>
  <c r="E13" i="16"/>
  <c r="I13" i="16" s="1"/>
  <c r="S12" i="16"/>
  <c r="P12" i="16" s="1"/>
  <c r="E12" i="16"/>
  <c r="H12" i="16" s="1"/>
  <c r="S11" i="16"/>
  <c r="O11" i="16" s="1"/>
  <c r="E11" i="16"/>
  <c r="G11" i="16" s="1"/>
  <c r="S10" i="16"/>
  <c r="Q10" i="16" s="1"/>
  <c r="E10" i="16"/>
  <c r="I10" i="16" s="1"/>
  <c r="S9" i="16"/>
  <c r="P9" i="16"/>
  <c r="E9" i="16"/>
  <c r="H9" i="16" s="1"/>
  <c r="S8" i="16"/>
  <c r="O8" i="16" s="1"/>
  <c r="E8" i="16"/>
  <c r="G8" i="16" s="1"/>
  <c r="E8" i="2"/>
  <c r="E9" i="2"/>
  <c r="E10" i="2"/>
  <c r="E11" i="2"/>
  <c r="E12" i="2"/>
  <c r="E13" i="2"/>
  <c r="E14" i="2"/>
  <c r="Q26" i="21" l="1"/>
  <c r="M31" i="21" s="1"/>
  <c r="S26" i="21"/>
  <c r="G26" i="21"/>
  <c r="H26" i="21"/>
  <c r="P26" i="21"/>
  <c r="E26" i="21"/>
  <c r="O8" i="21"/>
  <c r="O26" i="21" s="1"/>
  <c r="I26" i="20"/>
  <c r="S26" i="20"/>
  <c r="Q26" i="20"/>
  <c r="M31" i="20" s="1"/>
  <c r="P26" i="20"/>
  <c r="O8" i="20"/>
  <c r="O26" i="20" s="1"/>
  <c r="G26" i="20"/>
  <c r="H26" i="20"/>
  <c r="E26" i="20"/>
  <c r="I26" i="19"/>
  <c r="P26" i="19"/>
  <c r="S26" i="19"/>
  <c r="O8" i="19"/>
  <c r="O26" i="19" s="1"/>
  <c r="Q26" i="19"/>
  <c r="M31" i="19" s="1"/>
  <c r="H26" i="19"/>
  <c r="K31" i="19" s="1"/>
  <c r="G26" i="19"/>
  <c r="E26" i="19"/>
  <c r="S26" i="18"/>
  <c r="Q26" i="18"/>
  <c r="P26" i="18"/>
  <c r="O8" i="18"/>
  <c r="O26" i="18" s="1"/>
  <c r="I26" i="18"/>
  <c r="H26" i="18"/>
  <c r="G26" i="18"/>
  <c r="E26" i="18"/>
  <c r="P26" i="17"/>
  <c r="S26" i="17"/>
  <c r="Q26" i="17"/>
  <c r="M31" i="17" s="1"/>
  <c r="H26" i="17"/>
  <c r="K31" i="17" s="1"/>
  <c r="O8" i="17"/>
  <c r="O26" i="17" s="1"/>
  <c r="I31" i="17" s="1"/>
  <c r="E26" i="17"/>
  <c r="I26" i="16"/>
  <c r="O26" i="16"/>
  <c r="S26" i="16"/>
  <c r="Q26" i="16"/>
  <c r="M31" i="16" s="1"/>
  <c r="P26" i="16"/>
  <c r="H26" i="16"/>
  <c r="K31" i="16" s="1"/>
  <c r="G26" i="16"/>
  <c r="I31" i="16" s="1"/>
  <c r="E26" i="16"/>
  <c r="K31" i="21" l="1"/>
  <c r="I31" i="21"/>
  <c r="K31" i="20"/>
  <c r="I31" i="20"/>
  <c r="P33" i="20" s="1"/>
  <c r="I31" i="19"/>
  <c r="P33" i="19" s="1"/>
  <c r="P36" i="19" s="1"/>
  <c r="P35" i="19"/>
  <c r="M31" i="18"/>
  <c r="I31" i="18"/>
  <c r="K31" i="18"/>
  <c r="P33" i="17"/>
  <c r="P35" i="17" s="1"/>
  <c r="P36" i="17"/>
  <c r="P33" i="16"/>
  <c r="P36" i="16" s="1"/>
  <c r="P33" i="21" l="1"/>
  <c r="P36" i="21"/>
  <c r="P35" i="21"/>
  <c r="P36" i="20"/>
  <c r="P35" i="20"/>
  <c r="P33" i="18"/>
  <c r="P35" i="16"/>
  <c r="P36" i="18" l="1"/>
  <c r="P35" i="18"/>
  <c r="S25" i="15"/>
  <c r="Q25" i="15"/>
  <c r="E25" i="15"/>
  <c r="I25" i="15" s="1"/>
  <c r="S24" i="15"/>
  <c r="P24" i="15"/>
  <c r="E24" i="15"/>
  <c r="H24" i="15" s="1"/>
  <c r="S23" i="15"/>
  <c r="O23" i="15"/>
  <c r="E23" i="15"/>
  <c r="G23" i="15" s="1"/>
  <c r="S22" i="15"/>
  <c r="Q22" i="15"/>
  <c r="E22" i="15"/>
  <c r="I22" i="15" s="1"/>
  <c r="S21" i="15"/>
  <c r="P21" i="15"/>
  <c r="E21" i="15"/>
  <c r="H21" i="15" s="1"/>
  <c r="S20" i="15"/>
  <c r="O20" i="15"/>
  <c r="E20" i="15"/>
  <c r="G20" i="15" s="1"/>
  <c r="S19" i="15"/>
  <c r="Q19" i="15"/>
  <c r="E19" i="15"/>
  <c r="I19" i="15" s="1"/>
  <c r="S18" i="15"/>
  <c r="P18" i="15"/>
  <c r="E18" i="15"/>
  <c r="H18" i="15" s="1"/>
  <c r="S17" i="15"/>
  <c r="O17" i="15"/>
  <c r="E17" i="15"/>
  <c r="G17" i="15" s="1"/>
  <c r="S16" i="15"/>
  <c r="Q16" i="15" s="1"/>
  <c r="E16" i="15"/>
  <c r="I16" i="15" s="1"/>
  <c r="S15" i="15"/>
  <c r="P15" i="15" s="1"/>
  <c r="E15" i="15"/>
  <c r="H15" i="15" s="1"/>
  <c r="S14" i="15"/>
  <c r="O14" i="15" s="1"/>
  <c r="E14" i="15"/>
  <c r="G14" i="15" s="1"/>
  <c r="S13" i="15"/>
  <c r="Q13" i="15" s="1"/>
  <c r="E13" i="15"/>
  <c r="I13" i="15" s="1"/>
  <c r="S12" i="15"/>
  <c r="P12" i="15" s="1"/>
  <c r="E12" i="15"/>
  <c r="H12" i="15" s="1"/>
  <c r="S11" i="15"/>
  <c r="O11" i="15" s="1"/>
  <c r="E11" i="15"/>
  <c r="G11" i="15" s="1"/>
  <c r="S10" i="15"/>
  <c r="Q10" i="15" s="1"/>
  <c r="E10" i="15"/>
  <c r="I10" i="15" s="1"/>
  <c r="S9" i="15"/>
  <c r="P9" i="15" s="1"/>
  <c r="P26" i="15" s="1"/>
  <c r="E9" i="15"/>
  <c r="H9" i="15" s="1"/>
  <c r="S8" i="15"/>
  <c r="O8" i="15" s="1"/>
  <c r="E8" i="15"/>
  <c r="G8" i="15" s="1"/>
  <c r="S11" i="1"/>
  <c r="O11" i="1" s="1"/>
  <c r="S25" i="2"/>
  <c r="Q25" i="2"/>
  <c r="E25" i="2"/>
  <c r="I25" i="2" s="1"/>
  <c r="S24" i="2"/>
  <c r="P24" i="2"/>
  <c r="E24" i="2"/>
  <c r="H24" i="2" s="1"/>
  <c r="S23" i="2"/>
  <c r="O23" i="2"/>
  <c r="E23" i="2"/>
  <c r="G23" i="2" s="1"/>
  <c r="S22" i="2"/>
  <c r="Q22" i="2"/>
  <c r="E22" i="2"/>
  <c r="I22" i="2" s="1"/>
  <c r="S21" i="2"/>
  <c r="P21" i="2"/>
  <c r="E21" i="2"/>
  <c r="H21" i="2" s="1"/>
  <c r="S20" i="2"/>
  <c r="O20" i="2"/>
  <c r="E20" i="2"/>
  <c r="G20" i="2" s="1"/>
  <c r="S19" i="2"/>
  <c r="Q19" i="2"/>
  <c r="E19" i="2"/>
  <c r="I19" i="2" s="1"/>
  <c r="S18" i="2"/>
  <c r="P18" i="2" s="1"/>
  <c r="E18" i="2"/>
  <c r="H18" i="2" s="1"/>
  <c r="S17" i="2"/>
  <c r="O17" i="2"/>
  <c r="E17" i="2"/>
  <c r="G17" i="2" s="1"/>
  <c r="S16" i="2"/>
  <c r="Q16" i="2" s="1"/>
  <c r="E16" i="2"/>
  <c r="I16" i="2" s="1"/>
  <c r="S15" i="2"/>
  <c r="P15" i="2" s="1"/>
  <c r="E15" i="2"/>
  <c r="H15" i="2" s="1"/>
  <c r="S14" i="2"/>
  <c r="O14" i="2" s="1"/>
  <c r="G14" i="2"/>
  <c r="S13" i="2"/>
  <c r="Q13" i="2" s="1"/>
  <c r="I13" i="2"/>
  <c r="S12" i="2"/>
  <c r="P12" i="2" s="1"/>
  <c r="H12" i="2"/>
  <c r="S11" i="2"/>
  <c r="O11" i="2" s="1"/>
  <c r="G11" i="2"/>
  <c r="S10" i="2"/>
  <c r="Q10" i="2" s="1"/>
  <c r="I10" i="2"/>
  <c r="S9" i="2"/>
  <c r="P9" i="2" s="1"/>
  <c r="H9" i="2"/>
  <c r="S8" i="2"/>
  <c r="O8" i="2" s="1"/>
  <c r="G8" i="2"/>
  <c r="S25" i="1"/>
  <c r="Q25" i="1"/>
  <c r="E25" i="1"/>
  <c r="I25" i="1" s="1"/>
  <c r="S24" i="1"/>
  <c r="P24" i="1"/>
  <c r="E24" i="1"/>
  <c r="H24" i="1" s="1"/>
  <c r="S23" i="1"/>
  <c r="O23" i="1"/>
  <c r="E23" i="1"/>
  <c r="G23" i="1" s="1"/>
  <c r="S22" i="1"/>
  <c r="Q22" i="1"/>
  <c r="E22" i="1"/>
  <c r="I22" i="1" s="1"/>
  <c r="S21" i="1"/>
  <c r="P21" i="1"/>
  <c r="E21" i="1"/>
  <c r="H21" i="1" s="1"/>
  <c r="S20" i="1"/>
  <c r="O20" i="1"/>
  <c r="E20" i="1"/>
  <c r="G20" i="1" s="1"/>
  <c r="S19" i="1"/>
  <c r="Q19" i="1"/>
  <c r="E19" i="1"/>
  <c r="I19" i="1" s="1"/>
  <c r="S18" i="1"/>
  <c r="P18" i="1"/>
  <c r="E18" i="1"/>
  <c r="H18" i="1" s="1"/>
  <c r="S17" i="1"/>
  <c r="O17" i="1" s="1"/>
  <c r="E17" i="1"/>
  <c r="G17" i="1" s="1"/>
  <c r="S16" i="1"/>
  <c r="Q16" i="1" s="1"/>
  <c r="E16" i="1"/>
  <c r="I16" i="1" s="1"/>
  <c r="S15" i="1"/>
  <c r="P15" i="1" s="1"/>
  <c r="E15" i="1"/>
  <c r="H15" i="1" s="1"/>
  <c r="S14" i="1"/>
  <c r="O14" i="1" s="1"/>
  <c r="E14" i="1"/>
  <c r="G14" i="1" s="1"/>
  <c r="S13" i="1"/>
  <c r="Q13" i="1" s="1"/>
  <c r="E13" i="1"/>
  <c r="I13" i="1" s="1"/>
  <c r="S12" i="1"/>
  <c r="P12" i="1" s="1"/>
  <c r="E12" i="1"/>
  <c r="H12" i="1" s="1"/>
  <c r="E11" i="1"/>
  <c r="G11" i="1" s="1"/>
  <c r="S10" i="1"/>
  <c r="Q10" i="1" s="1"/>
  <c r="E10" i="1"/>
  <c r="I10" i="1" s="1"/>
  <c r="S9" i="1"/>
  <c r="P9" i="1" s="1"/>
  <c r="E9" i="1"/>
  <c r="H9" i="1" s="1"/>
  <c r="S8" i="1"/>
  <c r="O8" i="1" s="1"/>
  <c r="E8" i="1"/>
  <c r="G8" i="1" s="1"/>
  <c r="Q26" i="15" l="1"/>
  <c r="O26" i="15"/>
  <c r="S26" i="15"/>
  <c r="H26" i="15"/>
  <c r="K31" i="15" s="1"/>
  <c r="I26" i="15"/>
  <c r="M31" i="15" s="1"/>
  <c r="E26" i="15"/>
  <c r="G26" i="15"/>
  <c r="I31" i="15" s="1"/>
  <c r="I26" i="2"/>
  <c r="Q26" i="2"/>
  <c r="O26" i="2"/>
  <c r="G26" i="2"/>
  <c r="H26" i="1"/>
  <c r="P26" i="2"/>
  <c r="H26" i="2"/>
  <c r="S26" i="2"/>
  <c r="E26" i="2"/>
  <c r="Q26" i="1"/>
  <c r="I26" i="1"/>
  <c r="P26" i="1"/>
  <c r="O26" i="1"/>
  <c r="G26" i="1"/>
  <c r="S26" i="1"/>
  <c r="E26" i="1"/>
  <c r="P33" i="15" l="1"/>
  <c r="P35" i="15" s="1"/>
  <c r="K31" i="1"/>
  <c r="M31" i="2"/>
  <c r="I31" i="2"/>
  <c r="K31" i="2"/>
  <c r="M31" i="1"/>
  <c r="I31" i="1"/>
  <c r="P36" i="15" l="1"/>
  <c r="P33" i="2"/>
  <c r="P35" i="2" s="1"/>
  <c r="P33" i="1"/>
  <c r="P35" i="1" s="1"/>
  <c r="P36" i="2" l="1"/>
  <c r="P36" i="1"/>
</calcChain>
</file>

<file path=xl/sharedStrings.xml><?xml version="1.0" encoding="utf-8"?>
<sst xmlns="http://schemas.openxmlformats.org/spreadsheetml/2006/main" count="1142" uniqueCount="209">
  <si>
    <t>Location:</t>
  </si>
  <si>
    <t>Type:</t>
  </si>
  <si>
    <t>Voltage &amp; Freq.:</t>
  </si>
  <si>
    <t>230/400V, 50Hz</t>
  </si>
  <si>
    <t>DB Ref.:</t>
  </si>
  <si>
    <t>Cable Length(m) to ControlPanel</t>
  </si>
  <si>
    <t>Fed from</t>
  </si>
  <si>
    <t>CP1</t>
  </si>
  <si>
    <t>DESIGNATION OF LOAD</t>
  </si>
  <si>
    <r>
      <rPr>
        <b/>
        <sz val="8"/>
        <rFont val="Arial"/>
        <charset val="134"/>
      </rPr>
      <t>CABLE SIZE (mm</t>
    </r>
    <r>
      <rPr>
        <b/>
        <vertAlign val="superscript"/>
        <sz val="8"/>
        <rFont val="Arial"/>
        <charset val="134"/>
      </rPr>
      <t>2</t>
    </r>
    <r>
      <rPr>
        <b/>
        <sz val="8"/>
        <rFont val="Arial"/>
        <charset val="134"/>
      </rPr>
      <t>)</t>
    </r>
  </si>
  <si>
    <t>No of points</t>
  </si>
  <si>
    <t>Watts per point</t>
  </si>
  <si>
    <t>Peak Load</t>
  </si>
  <si>
    <t>Diversity Factor</t>
  </si>
  <si>
    <t>PHASE LOAD IN WATTS</t>
  </si>
  <si>
    <t>TRIP RATING</t>
  </si>
  <si>
    <t>R</t>
  </si>
  <si>
    <t>Y</t>
  </si>
  <si>
    <t>B</t>
  </si>
  <si>
    <t>2 x 1.5</t>
  </si>
  <si>
    <t>3 x 2.5</t>
  </si>
  <si>
    <t>SPARE</t>
  </si>
  <si>
    <t>3 x 4.0</t>
  </si>
  <si>
    <t>3 x 6.0</t>
  </si>
  <si>
    <t>3x 4.0</t>
  </si>
  <si>
    <t xml:space="preserve">                                       SUB-TOTALS </t>
  </si>
  <si>
    <t>* RING MAIN FINAL SUB-CIRCUITS</t>
  </si>
  <si>
    <t>DB LOAD CABLE SIZE:</t>
  </si>
  <si>
    <t>EARTH WIRE SIZE:</t>
  </si>
  <si>
    <t>CONNECTED (W)</t>
  </si>
  <si>
    <r>
      <rPr>
        <b/>
        <sz val="8"/>
        <rFont val="Arial"/>
        <charset val="134"/>
      </rPr>
      <t>1 x 4mm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 SINGLE CORE COPPER CABLE</t>
    </r>
  </si>
  <si>
    <t>SPARE(W)</t>
  </si>
  <si>
    <t>DB ISOLATOR TYPE:</t>
  </si>
  <si>
    <t>TOTAL CONNECTED (W)</t>
  </si>
  <si>
    <t>W</t>
  </si>
  <si>
    <t>POWER FACTOR</t>
  </si>
  <si>
    <r>
      <rPr>
        <sz val="8"/>
        <rFont val="Arial"/>
        <charset val="134"/>
      </rPr>
      <t xml:space="preserve">Cos </t>
    </r>
    <r>
      <rPr>
        <sz val="8"/>
        <rFont val="Calibri"/>
        <charset val="134"/>
      </rPr>
      <t>ф</t>
    </r>
  </si>
  <si>
    <t>TOTAL CONNECTED (VA)</t>
  </si>
  <si>
    <t>VA</t>
  </si>
  <si>
    <t>CURRENT (A)</t>
  </si>
  <si>
    <t>A</t>
  </si>
  <si>
    <t>* RING MAIN FINBL SUB-CIRCUITS</t>
  </si>
  <si>
    <r>
      <rPr>
        <b/>
        <sz val="8"/>
        <rFont val="Arial"/>
        <charset val="134"/>
      </rPr>
      <t>4C x 6mm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PVC/PVC COPPER CABLE</t>
    </r>
  </si>
  <si>
    <r>
      <rPr>
        <b/>
        <sz val="8"/>
        <rFont val="Arial"/>
        <charset val="134"/>
      </rPr>
      <t>1 x 6mm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 SINGLE CORE COPPER CABLE</t>
    </r>
  </si>
  <si>
    <t>GROUND FLOOR DISTRIBUTION BOARD (DB-A)</t>
  </si>
  <si>
    <t>DB-A</t>
  </si>
  <si>
    <t>AL1 - LIGHTING</t>
  </si>
  <si>
    <t>AL2 - LIGHTING</t>
  </si>
  <si>
    <t>AL3 - LIGHTING</t>
  </si>
  <si>
    <t>AL4 - LIGHTING</t>
  </si>
  <si>
    <t>AL5 - LIGHTING</t>
  </si>
  <si>
    <t>AL6 - LIGHTING</t>
  </si>
  <si>
    <t>GROUND FLOOR DISTRIBUTION BOARD (DB-B)</t>
  </si>
  <si>
    <t>DB-B</t>
  </si>
  <si>
    <t>DB-C</t>
  </si>
  <si>
    <t>FIRST FLOOR DISTRIBUTION BOARD (DB-D)</t>
  </si>
  <si>
    <t>DB-D</t>
  </si>
  <si>
    <t>DB-E</t>
  </si>
  <si>
    <t>ES1 - 13A SOCKET OUTLET</t>
  </si>
  <si>
    <t>ES3 - 13A SOCKET OUTLET</t>
  </si>
  <si>
    <t>ES2 - 13A SOCKET OUTLET</t>
  </si>
  <si>
    <t>DB-G</t>
  </si>
  <si>
    <t>GAC1 - 20A SWITCH OUTLET</t>
  </si>
  <si>
    <t>GAC4 - 20A SWITCH OUTLET</t>
  </si>
  <si>
    <t>GAC2 - 20A SWITCH OUTLET</t>
  </si>
  <si>
    <t>GAC3 - 20A SWITCH OUTLET</t>
  </si>
  <si>
    <t>STORE</t>
  </si>
  <si>
    <t>ES4 - 13A SOCKET OUTLET</t>
  </si>
  <si>
    <t>GAC5 - 20A SWITCH OUTLET</t>
  </si>
  <si>
    <t>DB-H</t>
  </si>
  <si>
    <t>HL1 - LIGHTING</t>
  </si>
  <si>
    <t>HL3 - LIGHTING</t>
  </si>
  <si>
    <t>HL5 - LIGHTING</t>
  </si>
  <si>
    <t>HL2 - LIGHTING</t>
  </si>
  <si>
    <t>HL4 - LIGHTING</t>
  </si>
  <si>
    <t>DB-J</t>
  </si>
  <si>
    <t>JS1 - 13A SOCKET OUTLET</t>
  </si>
  <si>
    <t>JS2 - 13A SOCKET OUTLET</t>
  </si>
  <si>
    <t>DB-K</t>
  </si>
  <si>
    <t>KAC1 - 20A SWITCH OUTLET</t>
  </si>
  <si>
    <t>KAC2 - 20A SWITCH OUTLET</t>
  </si>
  <si>
    <t>KAC3 - 20A SWITCH OUTLET</t>
  </si>
  <si>
    <t>KAC4 - 20A SWITCH OUTLET</t>
  </si>
  <si>
    <t>AL7 - LIGHTING</t>
  </si>
  <si>
    <t>AL9 - LIGHTING</t>
  </si>
  <si>
    <t>AL11 - LIGHTING</t>
  </si>
  <si>
    <t>AL13 - LIGHTING</t>
  </si>
  <si>
    <t>AL15 - LIGHTING</t>
  </si>
  <si>
    <t>AL17 - LIGHTING</t>
  </si>
  <si>
    <t>AL19 - LIGHTING</t>
  </si>
  <si>
    <t>AL8 - LIGHTING</t>
  </si>
  <si>
    <t>AL10 - LIGHTING</t>
  </si>
  <si>
    <t>AL12 - LIGHTING</t>
  </si>
  <si>
    <t>AL14 - LIGHTING</t>
  </si>
  <si>
    <t>AL16 - LIGHTING</t>
  </si>
  <si>
    <t>AL18 - LIGHTING</t>
  </si>
  <si>
    <t>AL20 - LIGHTING</t>
  </si>
  <si>
    <t>2 x 2.5</t>
  </si>
  <si>
    <t>BS1 - 13A SOCKET OUTLET</t>
  </si>
  <si>
    <t>BS3 - 13A SOCKET OUTLET</t>
  </si>
  <si>
    <t>BS5 - 13A SOCKET OUTLET</t>
  </si>
  <si>
    <t>BS7 - 13A SOCKET OUTLET</t>
  </si>
  <si>
    <t>BS9 - 13A SOCKET OUTLET</t>
  </si>
  <si>
    <t>BS11 - 13A SOCKET OUTLET</t>
  </si>
  <si>
    <t>BS2 - 13A SOCKET OUTLET</t>
  </si>
  <si>
    <t>BS4 - 13A SOCKET OUTLET</t>
  </si>
  <si>
    <t>BS6 - 13A SOCKET OUTLET</t>
  </si>
  <si>
    <t>BS8 - 13A SOCKET OUTLET</t>
  </si>
  <si>
    <t>BS10 - 13A SOCKET OUTLET</t>
  </si>
  <si>
    <t>BS12 - 13A SOCKET OUTLET</t>
  </si>
  <si>
    <t>GROUND FLOOR DISTRIBUTION BOARD (DB-C)</t>
  </si>
  <si>
    <t>CAC1 - 20A SWITCH OUTLET</t>
  </si>
  <si>
    <t>CP1 - 15A POWER SOCKET</t>
  </si>
  <si>
    <t>C-CCU1 - COOKER UNIT</t>
  </si>
  <si>
    <t>CAC2 - 20A SWITCH OUTLET</t>
  </si>
  <si>
    <t>CAC3 - 20A SWITCH OUTLET</t>
  </si>
  <si>
    <t>CAC5 - 20A SWITCH OUTLET</t>
  </si>
  <si>
    <t>CAC7 - 20A SWITCH OUTLET</t>
  </si>
  <si>
    <t>CAC9 - 20A SWITCH OUTLET</t>
  </si>
  <si>
    <t>CAC11 - 20A SWITCH OUTLET</t>
  </si>
  <si>
    <t>CAC13 - 20A SWITCH OUTLET</t>
  </si>
  <si>
    <t>CAC4 - 20A SWITCH OUTLET</t>
  </si>
  <si>
    <t>CAC6 - 20A SWITCH OUTLET</t>
  </si>
  <si>
    <t>CAC8 - 20A SWITCH OUTLET</t>
  </si>
  <si>
    <t>CAC10 - 20A SWITCH OUTLET</t>
  </si>
  <si>
    <t>CAC12 - 20A SWITCH OUTLET</t>
  </si>
  <si>
    <t>CP2 - 15A POWER SOCKET</t>
  </si>
  <si>
    <t>CP3 - 15A POWER SOCKET</t>
  </si>
  <si>
    <t>PANEL ROOM</t>
  </si>
  <si>
    <t>DL1 - LIGHTING</t>
  </si>
  <si>
    <t>DL3 - LIGHTING</t>
  </si>
  <si>
    <t>DL5 - LIGHTING</t>
  </si>
  <si>
    <t>DL7 - LIGHTING</t>
  </si>
  <si>
    <t>DL9 - LIGHTING</t>
  </si>
  <si>
    <t>DL11 - LIGHTING</t>
  </si>
  <si>
    <t>DL13 - LIGHTING</t>
  </si>
  <si>
    <t>DL2 - LIGHTING</t>
  </si>
  <si>
    <t>DL4 - LIGHTING</t>
  </si>
  <si>
    <t>DL6 - LIGHTING</t>
  </si>
  <si>
    <t>DL8 - LIGHTING</t>
  </si>
  <si>
    <t>DL10 - LIGHTING</t>
  </si>
  <si>
    <t>DL12 - LIGHTING</t>
  </si>
  <si>
    <t>DL14 - LIGHTING</t>
  </si>
  <si>
    <t>FIRST FLOOR DISTRIBUTION BOARD (DB-E)</t>
  </si>
  <si>
    <t>ES5 - 13A SOCKET OUTLET</t>
  </si>
  <si>
    <t>ES7 - 13A SOCKET OUTLET</t>
  </si>
  <si>
    <t>ES9 - 13A SOCKET OUTLET</t>
  </si>
  <si>
    <t>ES11 - 13A SOCKET OUTLET</t>
  </si>
  <si>
    <t>ES6 - 13A SOCKET OUTLET</t>
  </si>
  <si>
    <t>ES8 - 13A SOCKET OUTLET</t>
  </si>
  <si>
    <t>ES10 - 13A SOCKET OUTLET</t>
  </si>
  <si>
    <t>ES12 - 13A SOCKET OUTLET</t>
  </si>
  <si>
    <t>FIRST FLOOR DISTRIBUTION BOARD (DB-G)</t>
  </si>
  <si>
    <t>GAC7 - 20A SWITCH OUTLET</t>
  </si>
  <si>
    <t>GAC9 - 20A SWITCH OUTLET</t>
  </si>
  <si>
    <t>GAC11 - 20A SWITCH OUTLET</t>
  </si>
  <si>
    <t>GAC13 - 20A SWITCH OUTLET</t>
  </si>
  <si>
    <t>GAC15 - 20A SWITCH OUTLET</t>
  </si>
  <si>
    <t>GAC17 - 20A SWITCH OUTLET</t>
  </si>
  <si>
    <t>GAC6 - 20A SWITCH OUTLET</t>
  </si>
  <si>
    <t>GAC8 - 20A SWITCH OUTLET</t>
  </si>
  <si>
    <t>GAC10 - 20A SWITCH OUTLET</t>
  </si>
  <si>
    <t>GAC12 - 20A SWITCH OUTLET</t>
  </si>
  <si>
    <t>GAC14 - 20A SWITCH OUTLET</t>
  </si>
  <si>
    <t>GAC16 - 20A SWITCH OUTLET</t>
  </si>
  <si>
    <t>GAC18 - 20A SWITCH OUTLET</t>
  </si>
  <si>
    <t>SECOND FLOOR DISTRIBUTION BOARD (DB-H)</t>
  </si>
  <si>
    <t>HL7 - LIGHTING</t>
  </si>
  <si>
    <t>HL9 - LIGHTING</t>
  </si>
  <si>
    <t>HL11 - LIGHTING</t>
  </si>
  <si>
    <t>HL13 - LIGHTING</t>
  </si>
  <si>
    <t>HL6 - LIGHTING</t>
  </si>
  <si>
    <t>HL8 - LIGHTING</t>
  </si>
  <si>
    <t>HL10 - LIGHTING</t>
  </si>
  <si>
    <t>HL12 - LIGHTING</t>
  </si>
  <si>
    <t>SECOND FLOOR DISTRIBUTION BOARD (DB-J)</t>
  </si>
  <si>
    <t>JS3 - 13A SOCKET OUTLET</t>
  </si>
  <si>
    <t>JS5 - 13A SOCKET OUTLET</t>
  </si>
  <si>
    <t>JS7 - 13A SOCKET OUTLET</t>
  </si>
  <si>
    <t>JS9 - 13A SOCKET OUTLET</t>
  </si>
  <si>
    <t>JS4 - 13A SOCKET OUTLET</t>
  </si>
  <si>
    <t>JS6 - 13A SOCKET OUTLET</t>
  </si>
  <si>
    <t>JS8 - 13A SOCKET OUTLET</t>
  </si>
  <si>
    <t>SECOND FLOOR DISTRIBUTION BOARD (DB-K)</t>
  </si>
  <si>
    <t>KAC5 - 20A SWITCH OUTLET</t>
  </si>
  <si>
    <t>KAC7 - 20A SWITCH OUTLET</t>
  </si>
  <si>
    <t>KAC9 - 20A SWITCH OUTLET</t>
  </si>
  <si>
    <t>KAC11 - 20A SWITCH OUTLET</t>
  </si>
  <si>
    <t>KAC13 - 20A SWITCH OUTLET</t>
  </si>
  <si>
    <t>KAC15 - 20A SWITCH OUTLET</t>
  </si>
  <si>
    <t>KAC6 - 20A SWITCH OUTLET</t>
  </si>
  <si>
    <t>KAC8 - 20A SWITCH OUTLET</t>
  </si>
  <si>
    <t>KAC10 - 20A SWITCH OUTLET</t>
  </si>
  <si>
    <t>KAC12 - 20A SWITCH OUTLET</t>
  </si>
  <si>
    <t>KAC14 - 20A SWITCH OUTLET</t>
  </si>
  <si>
    <t>K-ERV1 - ENERGY RECOVERY UNIT</t>
  </si>
  <si>
    <t>K-ERV2 - ENERGY RECOVERY UNIT</t>
  </si>
  <si>
    <t>G-ERV1 - ENERGY RECOVERY UNIT</t>
  </si>
  <si>
    <t>G-ERV2 - ENERGY RECOVERY UNIT</t>
  </si>
  <si>
    <t>C-ERV1 - ENERGY RECOVERY UNIT</t>
  </si>
  <si>
    <t>C-ERV2 - ENERGY RECOVERY UNIT</t>
  </si>
  <si>
    <r>
      <t>4C x 6mm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PVC/PVC COPPER CABLE</t>
    </r>
  </si>
  <si>
    <r>
      <t>4C x 10mm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PVC/PVC COPPER CABLE</t>
    </r>
  </si>
  <si>
    <r>
      <t>1 x 10mm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 SINGLE CORE COPPER CABLE</t>
    </r>
  </si>
  <si>
    <t xml:space="preserve">63A 8-WAYS TP&amp;N MCB DISTRIBUTION BOARD (ABB) OR SCHNEIDER ELECTRIC </t>
  </si>
  <si>
    <t>63A TP&amp;N MCCB; 300mA</t>
  </si>
  <si>
    <t>63A MCB; 300mA</t>
  </si>
  <si>
    <t xml:space="preserve">63A 6-WAYS TP&amp;N MCB DISTRIBUTION BOARD (ABB) OR SCHNEIDER ELECTRIC </t>
  </si>
  <si>
    <t xml:space="preserve">63A 4-WAYS TP&amp;N MCB DISTRIBUTION BOARD (ABB) OR SCHNEIDER ELECTRIC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</si>
</sst>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6">
    <font>
      <sz val="10"/>
      <color rgb="FF000000"/>
      <name val="Calibri"/>
      <charset val="134"/>
      <scheme val="minor"/>
    </font>
    <font>
      <b/>
      <sz val="12"/>
      <name val="Arial"/>
      <charset val="134"/>
    </font>
    <font>
      <sz val="10"/>
      <name val="Calibri"/>
      <charset val="134"/>
      <scheme val="minor"/>
    </font>
    <font>
      <b/>
      <sz val="8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i/>
      <sz val="8"/>
      <name val="Arial"/>
      <charset val="134"/>
    </font>
    <font>
      <b/>
      <vertAlign val="superscript"/>
      <sz val="8"/>
      <name val="Arial"/>
      <charset val="134"/>
    </font>
    <font>
      <b/>
      <i/>
      <sz val="8"/>
      <name val="Arial"/>
      <charset val="134"/>
    </font>
    <font>
      <b/>
      <sz val="14"/>
      <name val="Calibri"/>
      <charset val="134"/>
    </font>
    <font>
      <sz val="8"/>
      <name val="Calibri"/>
      <charset val="134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name val="Calibri"/>
      <charset val="13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2" fontId="3" fillId="0" borderId="5" xfId="0" applyNumberFormat="1" applyFont="1" applyBorder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2" fontId="3" fillId="0" borderId="0" xfId="0" applyNumberFormat="1" applyFont="1"/>
    <xf numFmtId="0" fontId="4" fillId="0" borderId="6" xfId="0" applyFont="1" applyBorder="1"/>
    <xf numFmtId="2" fontId="4" fillId="0" borderId="0" xfId="0" applyNumberFormat="1" applyFont="1"/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2" xfId="0" applyFont="1" applyBorder="1" applyAlignment="1">
      <alignment vertical="top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2" fontId="3" fillId="0" borderId="15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16" xfId="0" applyFont="1" applyBorder="1"/>
    <xf numFmtId="0" fontId="5" fillId="0" borderId="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" fontId="5" fillId="0" borderId="17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/>
    </xf>
    <xf numFmtId="2" fontId="5" fillId="0" borderId="18" xfId="0" applyNumberFormat="1" applyFont="1" applyBorder="1" applyAlignment="1">
      <alignment horizontal="center"/>
    </xf>
    <xf numFmtId="0" fontId="5" fillId="0" borderId="19" xfId="0" applyFont="1" applyBorder="1"/>
    <xf numFmtId="0" fontId="5" fillId="0" borderId="18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1" fontId="5" fillId="0" borderId="18" xfId="0" applyNumberFormat="1" applyFont="1" applyBorder="1" applyAlignment="1">
      <alignment horizontal="left"/>
    </xf>
    <xf numFmtId="1" fontId="5" fillId="0" borderId="18" xfId="0" applyNumberFormat="1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2" fontId="4" fillId="0" borderId="18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5" fillId="0" borderId="23" xfId="0" applyFont="1" applyBorder="1" applyAlignment="1">
      <alignment horizontal="left"/>
    </xf>
    <xf numFmtId="2" fontId="4" fillId="0" borderId="23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24" xfId="0" applyFont="1" applyBorder="1"/>
    <xf numFmtId="0" fontId="4" fillId="0" borderId="7" xfId="0" applyFont="1" applyBorder="1"/>
    <xf numFmtId="2" fontId="4" fillId="0" borderId="25" xfId="0" applyNumberFormat="1" applyFont="1" applyBorder="1"/>
    <xf numFmtId="0" fontId="3" fillId="0" borderId="6" xfId="0" applyFont="1" applyBorder="1" applyAlignment="1">
      <alignment vertical="center"/>
    </xf>
    <xf numFmtId="2" fontId="5" fillId="0" borderId="18" xfId="0" applyNumberFormat="1" applyFont="1" applyBorder="1"/>
    <xf numFmtId="0" fontId="5" fillId="0" borderId="4" xfId="0" applyFont="1" applyBorder="1"/>
    <xf numFmtId="0" fontId="6" fillId="0" borderId="6" xfId="0" applyFont="1" applyBorder="1"/>
    <xf numFmtId="0" fontId="4" fillId="0" borderId="28" xfId="0" applyFont="1" applyBorder="1"/>
    <xf numFmtId="0" fontId="4" fillId="0" borderId="29" xfId="0" applyFont="1" applyBorder="1"/>
    <xf numFmtId="2" fontId="5" fillId="0" borderId="30" xfId="0" applyNumberFormat="1" applyFont="1" applyBorder="1"/>
    <xf numFmtId="0" fontId="5" fillId="0" borderId="29" xfId="0" applyFont="1" applyBorder="1"/>
    <xf numFmtId="0" fontId="5" fillId="0" borderId="0" xfId="0" applyFont="1" applyAlignment="1">
      <alignment horizontal="right"/>
    </xf>
    <xf numFmtId="0" fontId="3" fillId="0" borderId="26" xfId="0" applyFont="1" applyBorder="1"/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right"/>
    </xf>
    <xf numFmtId="0" fontId="5" fillId="0" borderId="35" xfId="0" applyFont="1" applyBorder="1" applyAlignment="1">
      <alignment horizontal="left" vertical="top"/>
    </xf>
    <xf numFmtId="0" fontId="3" fillId="0" borderId="15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/>
    </xf>
    <xf numFmtId="0" fontId="5" fillId="0" borderId="36" xfId="0" applyFont="1" applyBorder="1" applyAlignment="1">
      <alignment horizontal="center" vertical="top"/>
    </xf>
    <xf numFmtId="0" fontId="3" fillId="0" borderId="3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7" fillId="0" borderId="17" xfId="0" applyFont="1" applyBorder="1" applyAlignment="1">
      <alignment horizontal="center" vertical="top"/>
    </xf>
    <xf numFmtId="0" fontId="5" fillId="0" borderId="17" xfId="0" applyFont="1" applyBorder="1" applyAlignment="1">
      <alignment horizontal="right"/>
    </xf>
    <xf numFmtId="0" fontId="7" fillId="0" borderId="18" xfId="0" applyFont="1" applyBorder="1" applyAlignment="1">
      <alignment horizontal="center" vertical="top"/>
    </xf>
    <xf numFmtId="0" fontId="7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8" xfId="0" applyFont="1" applyBorder="1" applyAlignment="1">
      <alignment horizontal="right"/>
    </xf>
    <xf numFmtId="0" fontId="4" fillId="0" borderId="18" xfId="0" applyFont="1" applyBorder="1"/>
    <xf numFmtId="0" fontId="4" fillId="0" borderId="23" xfId="0" applyFont="1" applyBorder="1"/>
    <xf numFmtId="0" fontId="5" fillId="0" borderId="23" xfId="0" applyFont="1" applyBorder="1" applyAlignment="1">
      <alignment horizontal="right"/>
    </xf>
    <xf numFmtId="0" fontId="4" fillId="0" borderId="17" xfId="0" applyFont="1" applyBorder="1"/>
    <xf numFmtId="0" fontId="5" fillId="0" borderId="26" xfId="0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2" fontId="5" fillId="0" borderId="26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/>
    <xf numFmtId="0" fontId="3" fillId="0" borderId="45" xfId="0" applyFont="1" applyBorder="1"/>
    <xf numFmtId="0" fontId="3" fillId="0" borderId="46" xfId="0" applyFont="1" applyBorder="1"/>
    <xf numFmtId="0" fontId="4" fillId="0" borderId="45" xfId="0" applyFont="1" applyBorder="1"/>
    <xf numFmtId="0" fontId="3" fillId="0" borderId="47" xfId="0" applyFont="1" applyBorder="1" applyAlignment="1">
      <alignment vertical="top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8" xfId="0" applyFont="1" applyBorder="1" applyAlignment="1">
      <alignment vertical="top"/>
    </xf>
    <xf numFmtId="1" fontId="5" fillId="0" borderId="17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0" fontId="5" fillId="0" borderId="45" xfId="0" applyFont="1" applyBorder="1"/>
    <xf numFmtId="1" fontId="5" fillId="0" borderId="18" xfId="0" applyNumberFormat="1" applyFont="1" applyBorder="1"/>
    <xf numFmtId="0" fontId="5" fillId="0" borderId="49" xfId="0" applyFont="1" applyBorder="1"/>
    <xf numFmtId="0" fontId="4" fillId="0" borderId="50" xfId="0" applyFont="1" applyBorder="1"/>
    <xf numFmtId="0" fontId="6" fillId="0" borderId="5" xfId="0" applyFont="1" applyBorder="1" applyAlignment="1">
      <alignment horizontal="left"/>
    </xf>
    <xf numFmtId="0" fontId="5" fillId="0" borderId="49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/>
    <xf numFmtId="0" fontId="5" fillId="0" borderId="40" xfId="0" applyFont="1" applyBorder="1"/>
    <xf numFmtId="0" fontId="5" fillId="0" borderId="51" xfId="0" applyFont="1" applyBorder="1"/>
    <xf numFmtId="0" fontId="5" fillId="0" borderId="43" xfId="0" applyFont="1" applyBorder="1" applyAlignment="1">
      <alignment horizontal="center"/>
    </xf>
    <xf numFmtId="0" fontId="5" fillId="0" borderId="30" xfId="0" applyFont="1" applyBorder="1"/>
    <xf numFmtId="0" fontId="5" fillId="0" borderId="52" xfId="0" applyFont="1" applyBorder="1"/>
    <xf numFmtId="0" fontId="4" fillId="0" borderId="53" xfId="0" applyFont="1" applyBorder="1"/>
    <xf numFmtId="0" fontId="5" fillId="0" borderId="6" xfId="0" applyFont="1" applyBorder="1"/>
    <xf numFmtId="0" fontId="3" fillId="0" borderId="55" xfId="0" applyFont="1" applyBorder="1"/>
    <xf numFmtId="0" fontId="3" fillId="0" borderId="54" xfId="0" applyFont="1" applyBorder="1"/>
    <xf numFmtId="0" fontId="5" fillId="0" borderId="56" xfId="0" applyFont="1" applyBorder="1" applyAlignment="1">
      <alignment horizontal="center"/>
    </xf>
    <xf numFmtId="0" fontId="11" fillId="0" borderId="6" xfId="0" applyFont="1" applyBorder="1"/>
    <xf numFmtId="0" fontId="12" fillId="0" borderId="4" xfId="0" applyFont="1" applyBorder="1"/>
    <xf numFmtId="0" fontId="11" fillId="0" borderId="16" xfId="0" applyFont="1" applyBorder="1"/>
    <xf numFmtId="0" fontId="11" fillId="0" borderId="51" xfId="0" applyFont="1" applyBorder="1"/>
    <xf numFmtId="0" fontId="11" fillId="0" borderId="5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/>
    <xf numFmtId="2" fontId="3" fillId="0" borderId="4" xfId="0" applyNumberFormat="1" applyFont="1" applyBorder="1"/>
    <xf numFmtId="2" fontId="0" fillId="0" borderId="0" xfId="0" applyNumberFormat="1"/>
    <xf numFmtId="2" fontId="3" fillId="0" borderId="37" xfId="0" applyNumberFormat="1" applyFont="1" applyBorder="1" applyAlignment="1">
      <alignment horizontal="center"/>
    </xf>
    <xf numFmtId="2" fontId="4" fillId="0" borderId="18" xfId="0" applyNumberFormat="1" applyFont="1" applyBorder="1"/>
    <xf numFmtId="2" fontId="4" fillId="0" borderId="23" xfId="0" applyNumberFormat="1" applyFont="1" applyBorder="1"/>
    <xf numFmtId="2" fontId="4" fillId="0" borderId="17" xfId="0" applyNumberFormat="1" applyFont="1" applyBorder="1"/>
    <xf numFmtId="2" fontId="3" fillId="0" borderId="5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40" xfId="0" applyNumberFormat="1" applyFont="1" applyBorder="1" applyAlignment="1">
      <alignment horizontal="center"/>
    </xf>
    <xf numFmtId="2" fontId="4" fillId="0" borderId="29" xfId="0" applyNumberFormat="1" applyFont="1" applyBorder="1"/>
    <xf numFmtId="2" fontId="3" fillId="0" borderId="26" xfId="0" applyNumberFormat="1" applyFont="1" applyBorder="1"/>
    <xf numFmtId="2" fontId="3" fillId="0" borderId="13" xfId="0" applyNumberFormat="1" applyFont="1" applyBorder="1" applyAlignment="1">
      <alignment horizontal="center"/>
    </xf>
    <xf numFmtId="2" fontId="12" fillId="0" borderId="4" xfId="0" applyNumberFormat="1" applyFont="1" applyBorder="1"/>
    <xf numFmtId="2" fontId="3" fillId="0" borderId="17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7" xfId="0" applyNumberFormat="1" applyFont="1" applyBorder="1"/>
    <xf numFmtId="2" fontId="5" fillId="0" borderId="4" xfId="0" applyNumberFormat="1" applyFont="1" applyBorder="1"/>
    <xf numFmtId="2" fontId="5" fillId="0" borderId="29" xfId="0" applyNumberFormat="1" applyFont="1" applyBorder="1"/>
    <xf numFmtId="2" fontId="5" fillId="0" borderId="27" xfId="0" applyNumberFormat="1" applyFont="1" applyBorder="1" applyAlignment="1">
      <alignment horizontal="left"/>
    </xf>
    <xf numFmtId="0" fontId="2" fillId="0" borderId="7" xfId="0" applyFont="1" applyBorder="1"/>
    <xf numFmtId="0" fontId="3" fillId="0" borderId="27" xfId="0" applyFont="1" applyBorder="1" applyAlignment="1">
      <alignment horizontal="center"/>
    </xf>
    <xf numFmtId="0" fontId="2" fillId="0" borderId="39" xfId="0" applyFont="1" applyBorder="1"/>
    <xf numFmtId="0" fontId="5" fillId="0" borderId="42" xfId="0" applyFont="1" applyBorder="1" applyAlignment="1">
      <alignment horizontal="center"/>
    </xf>
    <xf numFmtId="0" fontId="2" fillId="0" borderId="43" xfId="0" applyFont="1" applyBorder="1"/>
    <xf numFmtId="0" fontId="2" fillId="0" borderId="29" xfId="0" applyFont="1" applyBorder="1"/>
    <xf numFmtId="0" fontId="3" fillId="0" borderId="42" xfId="0" applyFont="1" applyBorder="1" applyAlignment="1">
      <alignment horizontal="center"/>
    </xf>
    <xf numFmtId="2" fontId="5" fillId="0" borderId="26" xfId="0" applyNumberFormat="1" applyFont="1" applyBorder="1" applyAlignment="1">
      <alignment horizontal="left"/>
    </xf>
    <xf numFmtId="0" fontId="2" fillId="0" borderId="5" xfId="0" applyFont="1" applyBorder="1"/>
    <xf numFmtId="0" fontId="3" fillId="0" borderId="26" xfId="0" applyFont="1" applyBorder="1" applyAlignment="1">
      <alignment horizontal="center"/>
    </xf>
    <xf numFmtId="2" fontId="8" fillId="0" borderId="26" xfId="0" applyNumberFormat="1" applyFont="1" applyBorder="1" applyAlignment="1">
      <alignment horizontal="center" wrapText="1"/>
    </xf>
    <xf numFmtId="0" fontId="5" fillId="0" borderId="26" xfId="0" applyFont="1" applyBorder="1" applyAlignment="1">
      <alignment horizontal="center"/>
    </xf>
    <xf numFmtId="0" fontId="2" fillId="0" borderId="4" xfId="0" applyFont="1" applyBorder="1"/>
    <xf numFmtId="0" fontId="5" fillId="0" borderId="0" xfId="0" applyFont="1" applyAlignment="1">
      <alignment horizontal="center"/>
    </xf>
    <xf numFmtId="0" fontId="2" fillId="0" borderId="45" xfId="0" applyFont="1" applyBorder="1"/>
    <xf numFmtId="0" fontId="5" fillId="0" borderId="27" xfId="0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0" fontId="3" fillId="0" borderId="26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3" fillId="0" borderId="10" xfId="0" applyFont="1" applyBorder="1" applyAlignment="1">
      <alignment horizontal="center" vertical="top"/>
    </xf>
    <xf numFmtId="0" fontId="2" fillId="0" borderId="11" xfId="0" applyFont="1" applyBorder="1"/>
    <xf numFmtId="0" fontId="2" fillId="0" borderId="31" xfId="0" applyFont="1" applyBorder="1"/>
    <xf numFmtId="0" fontId="3" fillId="0" borderId="32" xfId="0" applyFont="1" applyBorder="1" applyAlignment="1">
      <alignment horizontal="center" vertical="top" wrapText="1"/>
    </xf>
    <xf numFmtId="0" fontId="2" fillId="0" borderId="33" xfId="0" applyFont="1" applyBorder="1"/>
    <xf numFmtId="0" fontId="2" fillId="0" borderId="34" xfId="0" applyFont="1" applyBorder="1"/>
    <xf numFmtId="0" fontId="5" fillId="0" borderId="3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2" fillId="0" borderId="22" xfId="0" applyFont="1" applyBorder="1"/>
    <xf numFmtId="0" fontId="3" fillId="0" borderId="38" xfId="0" applyFont="1" applyBorder="1" applyAlignment="1">
      <alignment horizontal="center"/>
    </xf>
    <xf numFmtId="0" fontId="2" fillId="0" borderId="38" xfId="0" applyFont="1" applyBorder="1"/>
    <xf numFmtId="0" fontId="2" fillId="0" borderId="17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2" fontId="2" fillId="0" borderId="5" xfId="0" applyNumberFormat="1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6261735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271260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261735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6261735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261735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6261735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6261735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6261735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6261735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6261735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6261735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6261735" y="32194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6261735" y="33718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6261735" y="35242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6261735" y="36766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6261735" y="38290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6261735" y="39814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6261735" y="41338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6370320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6513195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6703695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6341745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6494145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665595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6351270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494145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6665595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6351270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494145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6665595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6351270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6494145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6665595" y="32004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6360795" y="33528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6494145" y="35147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675120" y="36576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360795" y="38100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503670" y="39719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6675120" y="41148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6370320" y="44386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 flipV="1">
          <a:off x="6522720" y="44386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 flipV="1">
          <a:off x="6694170" y="44386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6275070" y="43719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5400000">
          <a:off x="6336665" y="4319270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 rot="5400000">
          <a:off x="6489065" y="4309745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5400000">
          <a:off x="6631940" y="4319270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 rot="10800000" flipH="1" flipV="1">
          <a:off x="6080760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 rot="10800000" flipH="1" flipV="1">
          <a:off x="6071235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0800000" flipH="1" flipV="1">
          <a:off x="6071235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 rot="10800000" flipH="1" flipV="1">
          <a:off x="6061710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 rot="10800000" flipH="1" flipV="1">
          <a:off x="6858000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10800000" flipH="1" flipV="1">
          <a:off x="6867525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 rot="10800000" flipH="1" flipV="1">
          <a:off x="6858000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 rot="10800000" flipH="1" flipV="1">
          <a:off x="605218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 rot="10800000" flipH="1" flipV="1">
          <a:off x="685800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 rot="10800000" flipH="1" flipV="1">
          <a:off x="6848475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 rot="10800000" flipH="1" flipV="1">
          <a:off x="6071235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 rot="10800000" flipH="1" flipV="1">
          <a:off x="6848475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 rot="10800000" flipH="1" flipV="1">
          <a:off x="68580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5" name="Arc 59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 rot="10800000" flipH="1" flipV="1">
          <a:off x="6848475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 rot="10800000" flipH="1" flipV="1">
          <a:off x="6080760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 rot="10800000" flipH="1" flipV="1">
          <a:off x="6858000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8" name="Arc 59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 rot="10800000" flipH="1" flipV="1">
          <a:off x="6061710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9" name="Arc 59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 rot="10800000" flipH="1" flipV="1">
          <a:off x="6848475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 rot="10800000" flipH="1" flipV="1">
          <a:off x="6061710" y="3190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 rot="10800000" flipH="1" flipV="1">
          <a:off x="6858000" y="31813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 rot="10800000" flipH="1" flipV="1">
          <a:off x="6061710" y="33432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 rot="10800000" flipH="1" flipV="1">
          <a:off x="6877050" y="33432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 rot="10800000" flipH="1" flipV="1">
          <a:off x="6071235" y="34956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 rot="10800000" flipH="1" flipV="1">
          <a:off x="6858000" y="34956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 rot="10800000" flipH="1" flipV="1">
          <a:off x="6071235" y="36480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 rot="10800000" flipH="1" flipV="1">
          <a:off x="6858000" y="36385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 rot="10800000" flipH="1" flipV="1">
          <a:off x="6061710" y="38004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 rot="10800000" flipH="1" flipV="1">
          <a:off x="6858000" y="38004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80" name="Arc 5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 rot="10800000" flipH="1" flipV="1">
          <a:off x="6071235" y="3952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81" name="Arc 59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 rot="10800000" flipH="1" flipV="1">
          <a:off x="6867525" y="3952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82" name="Arc 59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 rot="10800000" flipH="1" flipV="1">
          <a:off x="6052185" y="40957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83" name="Arc 59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 rot="10800000" flipH="1" flipV="1">
          <a:off x="6867525" y="40957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0</xdr:colOff>
      <xdr:row>19</xdr:row>
      <xdr:rowOff>0</xdr:rowOff>
    </xdr:from>
    <xdr:ext cx="1859280" cy="922020"/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0" y="3177540"/>
          <a:ext cx="1859280" cy="92202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15240</xdr:colOff>
      <xdr:row>19</xdr:row>
      <xdr:rowOff>15240</xdr:rowOff>
    </xdr:from>
    <xdr:ext cx="1844040" cy="899160"/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15240" y="3192780"/>
          <a:ext cx="1844040" cy="89916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15240</xdr:colOff>
      <xdr:row>19</xdr:row>
      <xdr:rowOff>15240</xdr:rowOff>
    </xdr:from>
    <xdr:ext cx="1714500" cy="899160"/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11125200" y="3192780"/>
          <a:ext cx="1714500" cy="89916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22860</xdr:colOff>
      <xdr:row>19</xdr:row>
      <xdr:rowOff>0</xdr:rowOff>
    </xdr:from>
    <xdr:ext cx="1714500" cy="914400"/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 flipH="1">
          <a:off x="11132820" y="3177540"/>
          <a:ext cx="1714500" cy="91440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98" name="Arc 593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 rot="10800000" flipH="1" flipV="1">
          <a:off x="607123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99" name="Arc 593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 rot="10800000" flipH="1" flipV="1">
          <a:off x="6858000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114" name="Arc 59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 rot="10800000" flipH="1" flipV="1">
          <a:off x="6052185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135" name="Arc 593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 rot="10800000" flipH="1" flipV="1">
          <a:off x="6858000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 lang="en-NG"/>
        </a:p>
      </xdr:txBody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136" name="Arc 593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 rot="10800000" flipH="1" flipV="1">
          <a:off x="6858000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179" name="Arc 593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 rot="10800000" flipH="1" flipV="1">
          <a:off x="6061710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530ACDD-EAAA-4EBD-B48F-3747B420C202}"/>
            </a:ext>
          </a:extLst>
        </xdr:cNvPr>
        <xdr:cNvCxnSpPr/>
      </xdr:nvCxnSpPr>
      <xdr:spPr>
        <a:xfrm>
          <a:off x="6250305" y="1501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9F532F3-127F-47C7-803F-738F45B4DA87}"/>
            </a:ext>
          </a:extLst>
        </xdr:cNvPr>
        <xdr:cNvCxnSpPr/>
      </xdr:nvCxnSpPr>
      <xdr:spPr>
        <a:xfrm>
          <a:off x="6259830" y="1653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781A1B7-049B-452B-B1F0-6BE094E921F5}"/>
            </a:ext>
          </a:extLst>
        </xdr:cNvPr>
        <xdr:cNvCxnSpPr/>
      </xdr:nvCxnSpPr>
      <xdr:spPr>
        <a:xfrm>
          <a:off x="6250305" y="1805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EDF172C-7C7B-4ABA-B2FE-0B8BDB28E9D7}"/>
            </a:ext>
          </a:extLst>
        </xdr:cNvPr>
        <xdr:cNvCxnSpPr/>
      </xdr:nvCxnSpPr>
      <xdr:spPr>
        <a:xfrm>
          <a:off x="6250305" y="1958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758600F-9B5D-4E26-BCC0-571EFCB4AFAD}"/>
            </a:ext>
          </a:extLst>
        </xdr:cNvPr>
        <xdr:cNvCxnSpPr/>
      </xdr:nvCxnSpPr>
      <xdr:spPr>
        <a:xfrm>
          <a:off x="6250305" y="2110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7BBDDA9-3CD8-4F05-852C-D6D437F2B959}"/>
            </a:ext>
          </a:extLst>
        </xdr:cNvPr>
        <xdr:cNvCxnSpPr/>
      </xdr:nvCxnSpPr>
      <xdr:spPr>
        <a:xfrm>
          <a:off x="6250305" y="2263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25BC612-91CD-491B-8867-E6A9E9CE793E}"/>
            </a:ext>
          </a:extLst>
        </xdr:cNvPr>
        <xdr:cNvCxnSpPr/>
      </xdr:nvCxnSpPr>
      <xdr:spPr>
        <a:xfrm>
          <a:off x="6250305" y="2415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F05835C-6C18-41CD-B53A-BD2AB67E8B6C}"/>
            </a:ext>
          </a:extLst>
        </xdr:cNvPr>
        <xdr:cNvCxnSpPr/>
      </xdr:nvCxnSpPr>
      <xdr:spPr>
        <a:xfrm>
          <a:off x="6250305" y="2567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702C9F4-B894-4421-BCA0-2D4838DEC9C5}"/>
            </a:ext>
          </a:extLst>
        </xdr:cNvPr>
        <xdr:cNvCxnSpPr/>
      </xdr:nvCxnSpPr>
      <xdr:spPr>
        <a:xfrm>
          <a:off x="6250305" y="2720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A959FA1-13DC-4F3E-819A-C17FB0F360D5}"/>
            </a:ext>
          </a:extLst>
        </xdr:cNvPr>
        <xdr:cNvCxnSpPr/>
      </xdr:nvCxnSpPr>
      <xdr:spPr>
        <a:xfrm>
          <a:off x="6250305" y="2872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57C9DB7-A4BD-4C83-B72F-945F8B07EA6D}"/>
            </a:ext>
          </a:extLst>
        </xdr:cNvPr>
        <xdr:cNvCxnSpPr/>
      </xdr:nvCxnSpPr>
      <xdr:spPr>
        <a:xfrm>
          <a:off x="6250305" y="3025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DBA2FB7-1F41-40E1-931D-1A83AC9925A7}"/>
            </a:ext>
          </a:extLst>
        </xdr:cNvPr>
        <xdr:cNvCxnSpPr/>
      </xdr:nvCxnSpPr>
      <xdr:spPr>
        <a:xfrm>
          <a:off x="6250305" y="3177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A91E1E9-5E24-40D8-A6E3-DD075E1A36B8}"/>
            </a:ext>
          </a:extLst>
        </xdr:cNvPr>
        <xdr:cNvCxnSpPr/>
      </xdr:nvCxnSpPr>
      <xdr:spPr>
        <a:xfrm>
          <a:off x="6250305" y="3329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660A006-BF35-4919-BAA6-BC49270CDC58}"/>
            </a:ext>
          </a:extLst>
        </xdr:cNvPr>
        <xdr:cNvCxnSpPr/>
      </xdr:nvCxnSpPr>
      <xdr:spPr>
        <a:xfrm>
          <a:off x="6250305" y="3482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15F7007-E3BA-4E46-AADB-C6DA6B665FA2}"/>
            </a:ext>
          </a:extLst>
        </xdr:cNvPr>
        <xdr:cNvCxnSpPr/>
      </xdr:nvCxnSpPr>
      <xdr:spPr>
        <a:xfrm>
          <a:off x="6250305" y="3634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E95A992-373E-4E76-AECC-EF914EBCBB43}"/>
            </a:ext>
          </a:extLst>
        </xdr:cNvPr>
        <xdr:cNvCxnSpPr/>
      </xdr:nvCxnSpPr>
      <xdr:spPr>
        <a:xfrm>
          <a:off x="6250305" y="3787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BCB05AD-5748-427B-BE94-32DAF67C89F2}"/>
            </a:ext>
          </a:extLst>
        </xdr:cNvPr>
        <xdr:cNvCxnSpPr/>
      </xdr:nvCxnSpPr>
      <xdr:spPr>
        <a:xfrm>
          <a:off x="6250305" y="3939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79CCED1-5B53-4F2C-B7BD-40DC1CB3DD48}"/>
            </a:ext>
          </a:extLst>
        </xdr:cNvPr>
        <xdr:cNvCxnSpPr/>
      </xdr:nvCxnSpPr>
      <xdr:spPr>
        <a:xfrm>
          <a:off x="6250305" y="4091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9C13F7A-4D77-4C39-AE40-852165B3435A}"/>
            </a:ext>
          </a:extLst>
        </xdr:cNvPr>
        <xdr:cNvCxnSpPr/>
      </xdr:nvCxnSpPr>
      <xdr:spPr>
        <a:xfrm>
          <a:off x="6358890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7754555-6D55-4AB1-BFAC-353882F46B9C}"/>
            </a:ext>
          </a:extLst>
        </xdr:cNvPr>
        <xdr:cNvCxnSpPr/>
      </xdr:nvCxnSpPr>
      <xdr:spPr>
        <a:xfrm>
          <a:off x="6501765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6D8CE15C-845A-4F12-8559-EE7238B8F981}"/>
            </a:ext>
          </a:extLst>
        </xdr:cNvPr>
        <xdr:cNvCxnSpPr/>
      </xdr:nvCxnSpPr>
      <xdr:spPr>
        <a:xfrm>
          <a:off x="6692265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A1073510-29F4-4636-8E95-182F324152EF}"/>
            </a:ext>
          </a:extLst>
        </xdr:cNvPr>
        <xdr:cNvSpPr/>
      </xdr:nvSpPr>
      <xdr:spPr>
        <a:xfrm>
          <a:off x="6330315" y="1482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4087059-4C22-4F29-96EE-93FDC77B56DD}"/>
            </a:ext>
          </a:extLst>
        </xdr:cNvPr>
        <xdr:cNvSpPr/>
      </xdr:nvSpPr>
      <xdr:spPr>
        <a:xfrm>
          <a:off x="6482715" y="1644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344EBF88-4432-436E-B104-D2172176AB61}"/>
            </a:ext>
          </a:extLst>
        </xdr:cNvPr>
        <xdr:cNvSpPr/>
      </xdr:nvSpPr>
      <xdr:spPr>
        <a:xfrm>
          <a:off x="6654165" y="1786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47370BC-EDDE-476E-9C14-4ADE83459C76}"/>
            </a:ext>
          </a:extLst>
        </xdr:cNvPr>
        <xdr:cNvSpPr/>
      </xdr:nvSpPr>
      <xdr:spPr>
        <a:xfrm>
          <a:off x="6339840" y="19392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78C8B37D-A88A-4E0B-8680-EC4784129BD4}"/>
            </a:ext>
          </a:extLst>
        </xdr:cNvPr>
        <xdr:cNvSpPr/>
      </xdr:nvSpPr>
      <xdr:spPr>
        <a:xfrm>
          <a:off x="6482715" y="2091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DEA18053-6762-4BC9-BC1A-68AACE42BAB0}"/>
            </a:ext>
          </a:extLst>
        </xdr:cNvPr>
        <xdr:cNvSpPr/>
      </xdr:nvSpPr>
      <xdr:spPr>
        <a:xfrm>
          <a:off x="6654165" y="22536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670BCB8-B20D-465D-8D45-FD55C519B8BA}"/>
            </a:ext>
          </a:extLst>
        </xdr:cNvPr>
        <xdr:cNvSpPr/>
      </xdr:nvSpPr>
      <xdr:spPr>
        <a:xfrm>
          <a:off x="6339840" y="2396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CDF61A5-9026-4EA6-9074-357F8A7C2142}"/>
            </a:ext>
          </a:extLst>
        </xdr:cNvPr>
        <xdr:cNvSpPr/>
      </xdr:nvSpPr>
      <xdr:spPr>
        <a:xfrm>
          <a:off x="6482715" y="2548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0F9EF6B-AD3B-48E0-BEBE-026275683413}"/>
            </a:ext>
          </a:extLst>
        </xdr:cNvPr>
        <xdr:cNvSpPr/>
      </xdr:nvSpPr>
      <xdr:spPr>
        <a:xfrm>
          <a:off x="6654165" y="2710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C09FDC3-BB68-4928-B647-23F0F53EB1E7}"/>
            </a:ext>
          </a:extLst>
        </xdr:cNvPr>
        <xdr:cNvSpPr/>
      </xdr:nvSpPr>
      <xdr:spPr>
        <a:xfrm>
          <a:off x="6339840" y="2853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09EBABB-CD8A-41D0-8B2A-D955B0C461EA}"/>
            </a:ext>
          </a:extLst>
        </xdr:cNvPr>
        <xdr:cNvSpPr/>
      </xdr:nvSpPr>
      <xdr:spPr>
        <a:xfrm>
          <a:off x="6482715" y="3006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4629678-271E-4B0C-993B-3E2814909C57}"/>
            </a:ext>
          </a:extLst>
        </xdr:cNvPr>
        <xdr:cNvSpPr/>
      </xdr:nvSpPr>
      <xdr:spPr>
        <a:xfrm>
          <a:off x="6654165" y="3158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4A9E30C-C551-4DD6-9184-7F0B5C295146}"/>
            </a:ext>
          </a:extLst>
        </xdr:cNvPr>
        <xdr:cNvSpPr/>
      </xdr:nvSpPr>
      <xdr:spPr>
        <a:xfrm>
          <a:off x="6349365" y="3310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9564BF4-6976-49FA-8960-E719656F2E8F}"/>
            </a:ext>
          </a:extLst>
        </xdr:cNvPr>
        <xdr:cNvSpPr/>
      </xdr:nvSpPr>
      <xdr:spPr>
        <a:xfrm>
          <a:off x="6482715" y="3472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011CDA0-2CC9-4A0A-95C9-FCD525D5072B}"/>
            </a:ext>
          </a:extLst>
        </xdr:cNvPr>
        <xdr:cNvSpPr/>
      </xdr:nvSpPr>
      <xdr:spPr>
        <a:xfrm>
          <a:off x="6663690" y="3615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6BBEB796-ED73-467E-9F76-3F3689082A2A}"/>
            </a:ext>
          </a:extLst>
        </xdr:cNvPr>
        <xdr:cNvSpPr/>
      </xdr:nvSpPr>
      <xdr:spPr>
        <a:xfrm>
          <a:off x="6349365" y="3768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25407ED-DE78-4152-90FA-0B467B32B852}"/>
            </a:ext>
          </a:extLst>
        </xdr:cNvPr>
        <xdr:cNvSpPr/>
      </xdr:nvSpPr>
      <xdr:spPr>
        <a:xfrm>
          <a:off x="6492240" y="3930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FFD8D118-0F00-4B83-92DE-7F4409D4C101}"/>
            </a:ext>
          </a:extLst>
        </xdr:cNvPr>
        <xdr:cNvSpPr/>
      </xdr:nvSpPr>
      <xdr:spPr>
        <a:xfrm>
          <a:off x="6663690" y="4072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7F943708-1D12-4AA6-9388-40253FB2C17F}"/>
            </a:ext>
          </a:extLst>
        </xdr:cNvPr>
        <xdr:cNvCxnSpPr/>
      </xdr:nvCxnSpPr>
      <xdr:spPr>
        <a:xfrm flipH="1" flipV="1">
          <a:off x="63588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67E40C1A-5E4D-46E9-8A28-0F61ECF5334F}"/>
            </a:ext>
          </a:extLst>
        </xdr:cNvPr>
        <xdr:cNvCxnSpPr/>
      </xdr:nvCxnSpPr>
      <xdr:spPr>
        <a:xfrm flipH="1" flipV="1">
          <a:off x="65112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8578687A-337A-4B6C-AF88-A50EB0A7E758}"/>
            </a:ext>
          </a:extLst>
        </xdr:cNvPr>
        <xdr:cNvCxnSpPr/>
      </xdr:nvCxnSpPr>
      <xdr:spPr>
        <a:xfrm flipH="1" flipV="1">
          <a:off x="6682740" y="439674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063B23C-4CBC-4557-B7FA-409A8D911096}"/>
            </a:ext>
          </a:extLst>
        </xdr:cNvPr>
        <xdr:cNvCxnSpPr/>
      </xdr:nvCxnSpPr>
      <xdr:spPr>
        <a:xfrm>
          <a:off x="6263640" y="433006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:a16="http://schemas.microsoft.com/office/drawing/2014/main" id="{BB247684-8961-4FE1-BDB7-06FD15053553}"/>
            </a:ext>
          </a:extLst>
        </xdr:cNvPr>
        <xdr:cNvSpPr/>
      </xdr:nvSpPr>
      <xdr:spPr>
        <a:xfrm rot="5400000">
          <a:off x="6325553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:a16="http://schemas.microsoft.com/office/drawing/2014/main" id="{B1C2B9ED-D1CC-451F-A488-536560313DEF}"/>
            </a:ext>
          </a:extLst>
        </xdr:cNvPr>
        <xdr:cNvSpPr/>
      </xdr:nvSpPr>
      <xdr:spPr>
        <a:xfrm rot="5400000">
          <a:off x="6477953" y="426815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:a16="http://schemas.microsoft.com/office/drawing/2014/main" id="{2F2907D0-714B-4796-B3CD-8C830C435B54}"/>
            </a:ext>
          </a:extLst>
        </xdr:cNvPr>
        <xdr:cNvSpPr/>
      </xdr:nvSpPr>
      <xdr:spPr>
        <a:xfrm rot="5400000">
          <a:off x="6620828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:a16="http://schemas.microsoft.com/office/drawing/2014/main" id="{2F69845A-02CA-4E16-A5A3-D76575E2BCDE}"/>
            </a:ext>
          </a:extLst>
        </xdr:cNvPr>
        <xdr:cNvSpPr/>
      </xdr:nvSpPr>
      <xdr:spPr>
        <a:xfrm rot="10800000" flipH="1" flipV="1">
          <a:off x="6069330" y="1463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:a16="http://schemas.microsoft.com/office/drawing/2014/main" id="{5E426726-F949-4863-86BC-1073206445D6}"/>
            </a:ext>
          </a:extLst>
        </xdr:cNvPr>
        <xdr:cNvSpPr/>
      </xdr:nvSpPr>
      <xdr:spPr>
        <a:xfrm rot="10800000" flipH="1" flipV="1">
          <a:off x="6059805" y="1624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:a16="http://schemas.microsoft.com/office/drawing/2014/main" id="{535D59AF-0E54-4203-B813-316E3FFCF73B}"/>
            </a:ext>
          </a:extLst>
        </xdr:cNvPr>
        <xdr:cNvSpPr/>
      </xdr:nvSpPr>
      <xdr:spPr>
        <a:xfrm rot="10800000" flipH="1" flipV="1">
          <a:off x="6059805" y="1767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:a16="http://schemas.microsoft.com/office/drawing/2014/main" id="{83D14CAE-14BF-4AE1-8F22-D0AAA312627F}"/>
            </a:ext>
          </a:extLst>
        </xdr:cNvPr>
        <xdr:cNvSpPr/>
      </xdr:nvSpPr>
      <xdr:spPr>
        <a:xfrm rot="10800000" flipH="1" flipV="1">
          <a:off x="6050280" y="1920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:a16="http://schemas.microsoft.com/office/drawing/2014/main" id="{3CB3BA85-F57F-416D-93C5-9CB11B725F44}"/>
            </a:ext>
          </a:extLst>
        </xdr:cNvPr>
        <xdr:cNvSpPr/>
      </xdr:nvSpPr>
      <xdr:spPr>
        <a:xfrm rot="10800000" flipH="1" flipV="1">
          <a:off x="6808470" y="1472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:a16="http://schemas.microsoft.com/office/drawing/2014/main" id="{1794B09F-4149-4687-A388-120EC5134A19}"/>
            </a:ext>
          </a:extLst>
        </xdr:cNvPr>
        <xdr:cNvSpPr/>
      </xdr:nvSpPr>
      <xdr:spPr>
        <a:xfrm rot="10800000" flipH="1" flipV="1">
          <a:off x="6817995" y="160591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:a16="http://schemas.microsoft.com/office/drawing/2014/main" id="{6EF0FEBC-78A9-4304-B85D-9B585E1E9086}"/>
            </a:ext>
          </a:extLst>
        </xdr:cNvPr>
        <xdr:cNvSpPr/>
      </xdr:nvSpPr>
      <xdr:spPr>
        <a:xfrm rot="10800000" flipH="1" flipV="1">
          <a:off x="680847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:a16="http://schemas.microsoft.com/office/drawing/2014/main" id="{FFEB1F0D-E902-411A-917B-D827B0FC968F}"/>
            </a:ext>
          </a:extLst>
        </xdr:cNvPr>
        <xdr:cNvSpPr/>
      </xdr:nvSpPr>
      <xdr:spPr>
        <a:xfrm rot="10800000" flipH="1" flipV="1">
          <a:off x="6040755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:a16="http://schemas.microsoft.com/office/drawing/2014/main" id="{83BC23E2-0C92-4A90-B4DA-DB86038012F8}"/>
            </a:ext>
          </a:extLst>
        </xdr:cNvPr>
        <xdr:cNvSpPr/>
      </xdr:nvSpPr>
      <xdr:spPr>
        <a:xfrm rot="10800000" flipH="1" flipV="1">
          <a:off x="6808470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:a16="http://schemas.microsoft.com/office/drawing/2014/main" id="{E6BC2083-1A44-44BF-81E1-99ED2908C05E}"/>
            </a:ext>
          </a:extLst>
        </xdr:cNvPr>
        <xdr:cNvSpPr/>
      </xdr:nvSpPr>
      <xdr:spPr>
        <a:xfrm rot="10800000" flipH="1" flipV="1">
          <a:off x="6798945" y="2234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:a16="http://schemas.microsoft.com/office/drawing/2014/main" id="{3BF534CB-6755-4671-8400-DD6B45B5F34B}"/>
            </a:ext>
          </a:extLst>
        </xdr:cNvPr>
        <xdr:cNvSpPr/>
      </xdr:nvSpPr>
      <xdr:spPr>
        <a:xfrm rot="10800000" flipH="1" flipV="1">
          <a:off x="6059805" y="2377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:a16="http://schemas.microsoft.com/office/drawing/2014/main" id="{83AED825-1712-456E-A9E1-768B040B6ADA}"/>
            </a:ext>
          </a:extLst>
        </xdr:cNvPr>
        <xdr:cNvSpPr/>
      </xdr:nvSpPr>
      <xdr:spPr>
        <a:xfrm rot="10800000" flipH="1" flipV="1">
          <a:off x="6798945" y="2386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:a16="http://schemas.microsoft.com/office/drawing/2014/main" id="{9BA08AB9-6E17-40FE-82E6-3BB8AE61FC97}"/>
            </a:ext>
          </a:extLst>
        </xdr:cNvPr>
        <xdr:cNvSpPr/>
      </xdr:nvSpPr>
      <xdr:spPr>
        <a:xfrm rot="10800000" flipH="1" flipV="1">
          <a:off x="6808470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:a16="http://schemas.microsoft.com/office/drawing/2014/main" id="{29DCB1D5-F83A-45B3-8854-E58B0970D64C}"/>
            </a:ext>
          </a:extLst>
        </xdr:cNvPr>
        <xdr:cNvSpPr/>
      </xdr:nvSpPr>
      <xdr:spPr>
        <a:xfrm rot="10800000" flipH="1" flipV="1">
          <a:off x="6798945" y="2691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:a16="http://schemas.microsoft.com/office/drawing/2014/main" id="{9121F2D1-63A5-44BA-888C-A18B16326122}"/>
            </a:ext>
          </a:extLst>
        </xdr:cNvPr>
        <xdr:cNvSpPr/>
      </xdr:nvSpPr>
      <xdr:spPr>
        <a:xfrm rot="10800000" flipH="1" flipV="1">
          <a:off x="6069330" y="2834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:a16="http://schemas.microsoft.com/office/drawing/2014/main" id="{05A20D18-71A0-46FC-A12B-7B58C9144DD5}"/>
            </a:ext>
          </a:extLst>
        </xdr:cNvPr>
        <xdr:cNvSpPr/>
      </xdr:nvSpPr>
      <xdr:spPr>
        <a:xfrm rot="10800000" flipH="1" flipV="1">
          <a:off x="6808470" y="2844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:a16="http://schemas.microsoft.com/office/drawing/2014/main" id="{31BB804A-EF7F-422D-BD18-24F6B1370E1F}"/>
            </a:ext>
          </a:extLst>
        </xdr:cNvPr>
        <xdr:cNvSpPr/>
      </xdr:nvSpPr>
      <xdr:spPr>
        <a:xfrm rot="10800000" flipH="1" flipV="1">
          <a:off x="6050280" y="298704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:a16="http://schemas.microsoft.com/office/drawing/2014/main" id="{0897F82B-903A-4653-853C-22CA251373DA}"/>
            </a:ext>
          </a:extLst>
        </xdr:cNvPr>
        <xdr:cNvSpPr/>
      </xdr:nvSpPr>
      <xdr:spPr>
        <a:xfrm rot="10800000" flipH="1" flipV="1">
          <a:off x="6798945" y="299656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:a16="http://schemas.microsoft.com/office/drawing/2014/main" id="{5A9099C6-C8F1-48D5-8486-40752CE3EFAF}"/>
            </a:ext>
          </a:extLst>
        </xdr:cNvPr>
        <xdr:cNvSpPr/>
      </xdr:nvSpPr>
      <xdr:spPr>
        <a:xfrm rot="10800000" flipH="1" flipV="1">
          <a:off x="6050280" y="3148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:a16="http://schemas.microsoft.com/office/drawing/2014/main" id="{1FD60EB4-467C-46E1-B466-8DF9A099D0BE}"/>
            </a:ext>
          </a:extLst>
        </xdr:cNvPr>
        <xdr:cNvSpPr/>
      </xdr:nvSpPr>
      <xdr:spPr>
        <a:xfrm rot="10800000" flipH="1" flipV="1">
          <a:off x="6808470" y="3139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:a16="http://schemas.microsoft.com/office/drawing/2014/main" id="{CBAF0205-ADE8-4AD7-ABB8-BFAEFAADD033}"/>
            </a:ext>
          </a:extLst>
        </xdr:cNvPr>
        <xdr:cNvSpPr/>
      </xdr:nvSpPr>
      <xdr:spPr>
        <a:xfrm rot="10800000" flipH="1" flipV="1">
          <a:off x="605028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:a16="http://schemas.microsoft.com/office/drawing/2014/main" id="{55CC535A-82E2-4E26-861B-E5F1B898E8E6}"/>
            </a:ext>
          </a:extLst>
        </xdr:cNvPr>
        <xdr:cNvSpPr/>
      </xdr:nvSpPr>
      <xdr:spPr>
        <a:xfrm rot="10800000" flipH="1" flipV="1">
          <a:off x="682752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:a16="http://schemas.microsoft.com/office/drawing/2014/main" id="{ADEC0FFF-7227-4998-8091-2411D4A65E42}"/>
            </a:ext>
          </a:extLst>
        </xdr:cNvPr>
        <xdr:cNvSpPr/>
      </xdr:nvSpPr>
      <xdr:spPr>
        <a:xfrm rot="10800000" flipH="1" flipV="1">
          <a:off x="6059805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:a16="http://schemas.microsoft.com/office/drawing/2014/main" id="{C9A36CCD-FF03-4D91-AFB1-23452E82AEF9}"/>
            </a:ext>
          </a:extLst>
        </xdr:cNvPr>
        <xdr:cNvSpPr/>
      </xdr:nvSpPr>
      <xdr:spPr>
        <a:xfrm rot="10800000" flipH="1" flipV="1">
          <a:off x="6808470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:a16="http://schemas.microsoft.com/office/drawing/2014/main" id="{8B65DBF7-5747-4778-80CD-0FCC70042F07}"/>
            </a:ext>
          </a:extLst>
        </xdr:cNvPr>
        <xdr:cNvSpPr/>
      </xdr:nvSpPr>
      <xdr:spPr>
        <a:xfrm rot="10800000" flipH="1" flipV="1">
          <a:off x="6059805" y="3606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:a16="http://schemas.microsoft.com/office/drawing/2014/main" id="{DFA540B6-8804-4FEC-BF8F-3801ADBF50D7}"/>
            </a:ext>
          </a:extLst>
        </xdr:cNvPr>
        <xdr:cNvSpPr/>
      </xdr:nvSpPr>
      <xdr:spPr>
        <a:xfrm rot="10800000" flipH="1" flipV="1">
          <a:off x="6808470" y="3596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:a16="http://schemas.microsoft.com/office/drawing/2014/main" id="{A3545070-602A-43A5-ABF4-EF123D5F3E0D}"/>
            </a:ext>
          </a:extLst>
        </xdr:cNvPr>
        <xdr:cNvSpPr/>
      </xdr:nvSpPr>
      <xdr:spPr>
        <a:xfrm rot="10800000" flipH="1" flipV="1">
          <a:off x="605028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:a16="http://schemas.microsoft.com/office/drawing/2014/main" id="{2E004CCE-85C1-42C4-BFA1-28FE7A1D8968}"/>
            </a:ext>
          </a:extLst>
        </xdr:cNvPr>
        <xdr:cNvSpPr/>
      </xdr:nvSpPr>
      <xdr:spPr>
        <a:xfrm rot="10800000" flipH="1" flipV="1">
          <a:off x="680847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:a16="http://schemas.microsoft.com/office/drawing/2014/main" id="{69249BA2-A5C7-4612-91DD-E8FD3C1D3A93}"/>
            </a:ext>
          </a:extLst>
        </xdr:cNvPr>
        <xdr:cNvSpPr/>
      </xdr:nvSpPr>
      <xdr:spPr>
        <a:xfrm rot="10800000" flipH="1" flipV="1">
          <a:off x="605980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:a16="http://schemas.microsoft.com/office/drawing/2014/main" id="{D3379E4D-4190-47A1-9158-8FCE5BEA0E44}"/>
            </a:ext>
          </a:extLst>
        </xdr:cNvPr>
        <xdr:cNvSpPr/>
      </xdr:nvSpPr>
      <xdr:spPr>
        <a:xfrm rot="10800000" flipH="1" flipV="1">
          <a:off x="681799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:a16="http://schemas.microsoft.com/office/drawing/2014/main" id="{3CB37B83-F325-4B73-BD09-94C6F66C0205}"/>
            </a:ext>
          </a:extLst>
        </xdr:cNvPr>
        <xdr:cNvSpPr/>
      </xdr:nvSpPr>
      <xdr:spPr>
        <a:xfrm rot="10800000" flipH="1" flipV="1">
          <a:off x="604075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:a16="http://schemas.microsoft.com/office/drawing/2014/main" id="{12F94B66-6806-4951-BB18-60EA93261D9E}"/>
            </a:ext>
          </a:extLst>
        </xdr:cNvPr>
        <xdr:cNvSpPr/>
      </xdr:nvSpPr>
      <xdr:spPr>
        <a:xfrm rot="10800000" flipH="1" flipV="1">
          <a:off x="681799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7620</xdr:colOff>
      <xdr:row>16</xdr:row>
      <xdr:rowOff>0</xdr:rowOff>
    </xdr:from>
    <xdr:ext cx="1851660" cy="1379220"/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34D142BE-FF44-48DF-B628-19B53C63621D}"/>
            </a:ext>
          </a:extLst>
        </xdr:cNvPr>
        <xdr:cNvCxnSpPr/>
      </xdr:nvCxnSpPr>
      <xdr:spPr>
        <a:xfrm>
          <a:off x="7620" y="2720340"/>
          <a:ext cx="1851660" cy="137922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15240</xdr:colOff>
      <xdr:row>16</xdr:row>
      <xdr:rowOff>0</xdr:rowOff>
    </xdr:from>
    <xdr:ext cx="1844040" cy="1371600"/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D94BB359-AD77-4B2C-AFCC-D49FD33267DE}"/>
            </a:ext>
          </a:extLst>
        </xdr:cNvPr>
        <xdr:cNvCxnSpPr/>
      </xdr:nvCxnSpPr>
      <xdr:spPr>
        <a:xfrm flipH="1">
          <a:off x="15240" y="2720340"/>
          <a:ext cx="1844040" cy="137160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7620</xdr:colOff>
      <xdr:row>16</xdr:row>
      <xdr:rowOff>0</xdr:rowOff>
    </xdr:from>
    <xdr:ext cx="1722120" cy="1371600"/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D0633103-87B2-477B-95D0-01DFD92ECADE}"/>
            </a:ext>
          </a:extLst>
        </xdr:cNvPr>
        <xdr:cNvCxnSpPr/>
      </xdr:nvCxnSpPr>
      <xdr:spPr>
        <a:xfrm>
          <a:off x="11117580" y="2720340"/>
          <a:ext cx="1722120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22860</xdr:colOff>
      <xdr:row>16</xdr:row>
      <xdr:rowOff>0</xdr:rowOff>
    </xdr:from>
    <xdr:ext cx="1714500" cy="1371600"/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BB050031-FF16-403D-91EC-8D0C9E5BE4DE}"/>
            </a:ext>
          </a:extLst>
        </xdr:cNvPr>
        <xdr:cNvCxnSpPr/>
      </xdr:nvCxnSpPr>
      <xdr:spPr>
        <a:xfrm flipH="1">
          <a:off x="11132820" y="2720340"/>
          <a:ext cx="1714500" cy="137160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:a16="http://schemas.microsoft.com/office/drawing/2014/main" id="{B6AD948E-25A4-4CB8-B504-C0DA21271F9E}"/>
            </a:ext>
          </a:extLst>
        </xdr:cNvPr>
        <xdr:cNvSpPr/>
      </xdr:nvSpPr>
      <xdr:spPr>
        <a:xfrm rot="10800000" flipH="1" flipV="1">
          <a:off x="6059805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:a16="http://schemas.microsoft.com/office/drawing/2014/main" id="{478954DF-DAC8-4EC9-A791-DE4C1C54F5FA}"/>
            </a:ext>
          </a:extLst>
        </xdr:cNvPr>
        <xdr:cNvSpPr/>
      </xdr:nvSpPr>
      <xdr:spPr>
        <a:xfrm rot="10800000" flipH="1" flipV="1">
          <a:off x="680847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:a16="http://schemas.microsoft.com/office/drawing/2014/main" id="{27B39B19-6AFC-4867-98E3-730949BBD802}"/>
            </a:ext>
          </a:extLst>
        </xdr:cNvPr>
        <xdr:cNvSpPr/>
      </xdr:nvSpPr>
      <xdr:spPr>
        <a:xfrm rot="10800000" flipH="1" flipV="1">
          <a:off x="6040755" y="2225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:a16="http://schemas.microsoft.com/office/drawing/2014/main" id="{32D11036-D3B5-40BD-BD35-17D048FCBC2C}"/>
            </a:ext>
          </a:extLst>
        </xdr:cNvPr>
        <xdr:cNvSpPr/>
      </xdr:nvSpPr>
      <xdr:spPr>
        <a:xfrm rot="10800000" flipH="1" flipV="1">
          <a:off x="680847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 lang="en-NG"/>
        </a:p>
      </xdr:txBody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:a16="http://schemas.microsoft.com/office/drawing/2014/main" id="{A1A78018-ADB8-4816-B892-FC2DA28947FD}"/>
            </a:ext>
          </a:extLst>
        </xdr:cNvPr>
        <xdr:cNvSpPr/>
      </xdr:nvSpPr>
      <xdr:spPr>
        <a:xfrm rot="10800000" flipH="1" flipV="1">
          <a:off x="680847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:a16="http://schemas.microsoft.com/office/drawing/2014/main" id="{DE6AFB75-99A8-4750-9A2A-6BB9CF9408A2}"/>
            </a:ext>
          </a:extLst>
        </xdr:cNvPr>
        <xdr:cNvSpPr/>
      </xdr:nvSpPr>
      <xdr:spPr>
        <a:xfrm rot="10800000" flipH="1" flipV="1">
          <a:off x="6050280" y="2682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261735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271260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261735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261735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261735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261735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261735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261735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261735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261735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261735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261735" y="32194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261735" y="33718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261735" y="35242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261735" y="36766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261735" y="38290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261735" y="39814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261735" y="41338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370320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513195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703695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6341745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6494145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6665595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6351270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6494145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6665595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6351270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494145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6665595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351270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6494145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6665595" y="32004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6360795" y="33528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6494145" y="35147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6675120" y="36576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6360795" y="38100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6503670" y="39719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6675120" y="41148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370320" y="44386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522720" y="44386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694170" y="44386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275070" y="43719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336665" y="4319270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489065" y="4309745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631940" y="4319270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6080760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6071235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6071235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6061710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858000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867525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858000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605218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85800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848475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6071235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848475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8580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848475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6080760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858000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6061710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848475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6061710" y="3190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858000" y="31813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6061710" y="33432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877050" y="33432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6071235" y="34956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858000" y="34956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6071235" y="36480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858000" y="36385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6061710" y="38004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858000" y="38004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6071235" y="3952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867525" y="3952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6052185" y="40957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867525" y="40957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7620</xdr:colOff>
      <xdr:row>19</xdr:row>
      <xdr:rowOff>7620</xdr:rowOff>
    </xdr:from>
    <xdr:ext cx="1851660" cy="899160"/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7620" y="3185160"/>
          <a:ext cx="1851660" cy="89916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0</xdr:colOff>
      <xdr:row>19</xdr:row>
      <xdr:rowOff>0</xdr:rowOff>
    </xdr:from>
    <xdr:ext cx="1859280" cy="914400"/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0" y="3177540"/>
          <a:ext cx="1859280" cy="91440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0</xdr:colOff>
      <xdr:row>19</xdr:row>
      <xdr:rowOff>15240</xdr:rowOff>
    </xdr:from>
    <xdr:ext cx="1729740" cy="899160"/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1087100" y="3192780"/>
          <a:ext cx="1729740" cy="89916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7620</xdr:colOff>
      <xdr:row>19</xdr:row>
      <xdr:rowOff>15240</xdr:rowOff>
    </xdr:from>
    <xdr:ext cx="1729740" cy="899160"/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1094720" y="3192780"/>
          <a:ext cx="1729740" cy="89916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607123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858000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6052185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858000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858000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6061710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597B0E0-ECA7-45E4-A97E-8CAA2330040A}"/>
            </a:ext>
          </a:extLst>
        </xdr:cNvPr>
        <xdr:cNvCxnSpPr/>
      </xdr:nvCxnSpPr>
      <xdr:spPr>
        <a:xfrm>
          <a:off x="6250305" y="1501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3E91C7D-722B-4E16-AE94-383C31F6739E}"/>
            </a:ext>
          </a:extLst>
        </xdr:cNvPr>
        <xdr:cNvCxnSpPr/>
      </xdr:nvCxnSpPr>
      <xdr:spPr>
        <a:xfrm>
          <a:off x="6259830" y="1653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9B4CD3E-8058-46DF-97EB-5F8AEAD65DEB}"/>
            </a:ext>
          </a:extLst>
        </xdr:cNvPr>
        <xdr:cNvCxnSpPr/>
      </xdr:nvCxnSpPr>
      <xdr:spPr>
        <a:xfrm>
          <a:off x="6250305" y="1805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E806699-484E-40D4-B245-787CF9180455}"/>
            </a:ext>
          </a:extLst>
        </xdr:cNvPr>
        <xdr:cNvCxnSpPr/>
      </xdr:nvCxnSpPr>
      <xdr:spPr>
        <a:xfrm>
          <a:off x="6250305" y="1958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89A3526-B1E5-4085-8826-855193D9FC68}"/>
            </a:ext>
          </a:extLst>
        </xdr:cNvPr>
        <xdr:cNvCxnSpPr/>
      </xdr:nvCxnSpPr>
      <xdr:spPr>
        <a:xfrm>
          <a:off x="6250305" y="2110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DADCFB7-F5F8-4914-A722-3F5295EF7FC9}"/>
            </a:ext>
          </a:extLst>
        </xdr:cNvPr>
        <xdr:cNvCxnSpPr/>
      </xdr:nvCxnSpPr>
      <xdr:spPr>
        <a:xfrm>
          <a:off x="6250305" y="2263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3D054D7-5163-48ED-9F00-58473FB0C04A}"/>
            </a:ext>
          </a:extLst>
        </xdr:cNvPr>
        <xdr:cNvCxnSpPr/>
      </xdr:nvCxnSpPr>
      <xdr:spPr>
        <a:xfrm>
          <a:off x="6250305" y="2415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B9E70CC-BC2D-4359-B1B1-69293999279D}"/>
            </a:ext>
          </a:extLst>
        </xdr:cNvPr>
        <xdr:cNvCxnSpPr/>
      </xdr:nvCxnSpPr>
      <xdr:spPr>
        <a:xfrm>
          <a:off x="6250305" y="2567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3CF3B9C-7710-4F6F-AB8E-82409F8FD625}"/>
            </a:ext>
          </a:extLst>
        </xdr:cNvPr>
        <xdr:cNvCxnSpPr/>
      </xdr:nvCxnSpPr>
      <xdr:spPr>
        <a:xfrm>
          <a:off x="6250305" y="2720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B3DDB63-016C-4D8B-B357-70AB2D046C04}"/>
            </a:ext>
          </a:extLst>
        </xdr:cNvPr>
        <xdr:cNvCxnSpPr/>
      </xdr:nvCxnSpPr>
      <xdr:spPr>
        <a:xfrm>
          <a:off x="6250305" y="2872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6813E9C-0046-4723-A43C-7EDC42C019DC}"/>
            </a:ext>
          </a:extLst>
        </xdr:cNvPr>
        <xdr:cNvCxnSpPr/>
      </xdr:nvCxnSpPr>
      <xdr:spPr>
        <a:xfrm>
          <a:off x="6250305" y="3025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7FDB216-5462-4161-94A4-746D6E9F64DC}"/>
            </a:ext>
          </a:extLst>
        </xdr:cNvPr>
        <xdr:cNvCxnSpPr/>
      </xdr:nvCxnSpPr>
      <xdr:spPr>
        <a:xfrm>
          <a:off x="6250305" y="3177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FBC3388-856E-47BA-A83A-619DA2993AB8}"/>
            </a:ext>
          </a:extLst>
        </xdr:cNvPr>
        <xdr:cNvCxnSpPr/>
      </xdr:nvCxnSpPr>
      <xdr:spPr>
        <a:xfrm>
          <a:off x="6250305" y="3329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6E35103-5E71-4814-A853-113C39AE5C7E}"/>
            </a:ext>
          </a:extLst>
        </xdr:cNvPr>
        <xdr:cNvCxnSpPr/>
      </xdr:nvCxnSpPr>
      <xdr:spPr>
        <a:xfrm>
          <a:off x="6250305" y="3482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5D202BE-C4FF-4155-92A3-7A96EC8B7E39}"/>
            </a:ext>
          </a:extLst>
        </xdr:cNvPr>
        <xdr:cNvCxnSpPr/>
      </xdr:nvCxnSpPr>
      <xdr:spPr>
        <a:xfrm>
          <a:off x="6250305" y="3634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97049EA-E914-4E89-966A-B967012223B7}"/>
            </a:ext>
          </a:extLst>
        </xdr:cNvPr>
        <xdr:cNvCxnSpPr/>
      </xdr:nvCxnSpPr>
      <xdr:spPr>
        <a:xfrm>
          <a:off x="6250305" y="3787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A827C32-BBB2-469F-B2E9-46BEF6EF672A}"/>
            </a:ext>
          </a:extLst>
        </xdr:cNvPr>
        <xdr:cNvCxnSpPr/>
      </xdr:nvCxnSpPr>
      <xdr:spPr>
        <a:xfrm>
          <a:off x="6250305" y="3939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B9A5C3F-5456-41C7-AE9C-D6DEEDFAAC18}"/>
            </a:ext>
          </a:extLst>
        </xdr:cNvPr>
        <xdr:cNvCxnSpPr/>
      </xdr:nvCxnSpPr>
      <xdr:spPr>
        <a:xfrm>
          <a:off x="6250305" y="4091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8F5A19F4-8EB3-4669-9208-076CB7695D3B}"/>
            </a:ext>
          </a:extLst>
        </xdr:cNvPr>
        <xdr:cNvCxnSpPr/>
      </xdr:nvCxnSpPr>
      <xdr:spPr>
        <a:xfrm>
          <a:off x="6358890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78C80C3-20BC-4BEA-B67C-AD0D523C776C}"/>
            </a:ext>
          </a:extLst>
        </xdr:cNvPr>
        <xdr:cNvCxnSpPr/>
      </xdr:nvCxnSpPr>
      <xdr:spPr>
        <a:xfrm>
          <a:off x="6501765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69FD45E-52F5-45DE-B3CC-ABD7DC6D0617}"/>
            </a:ext>
          </a:extLst>
        </xdr:cNvPr>
        <xdr:cNvCxnSpPr/>
      </xdr:nvCxnSpPr>
      <xdr:spPr>
        <a:xfrm>
          <a:off x="6692265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82BABC1-71C8-4BCC-97C7-52A7AE383C5B}"/>
            </a:ext>
          </a:extLst>
        </xdr:cNvPr>
        <xdr:cNvSpPr/>
      </xdr:nvSpPr>
      <xdr:spPr>
        <a:xfrm>
          <a:off x="6330315" y="1482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1A8832F-D1CC-42E5-9AF6-6CC8FB5C0355}"/>
            </a:ext>
          </a:extLst>
        </xdr:cNvPr>
        <xdr:cNvSpPr/>
      </xdr:nvSpPr>
      <xdr:spPr>
        <a:xfrm>
          <a:off x="6482715" y="1644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881F36EE-E35C-4C65-9797-82D5389561AD}"/>
            </a:ext>
          </a:extLst>
        </xdr:cNvPr>
        <xdr:cNvSpPr/>
      </xdr:nvSpPr>
      <xdr:spPr>
        <a:xfrm>
          <a:off x="6654165" y="1786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68A0513-0623-4D6D-A480-E621AD8FA65F}"/>
            </a:ext>
          </a:extLst>
        </xdr:cNvPr>
        <xdr:cNvSpPr/>
      </xdr:nvSpPr>
      <xdr:spPr>
        <a:xfrm>
          <a:off x="6339840" y="19392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855ED5C-3548-4E38-8B56-C83BCDE94F59}"/>
            </a:ext>
          </a:extLst>
        </xdr:cNvPr>
        <xdr:cNvSpPr/>
      </xdr:nvSpPr>
      <xdr:spPr>
        <a:xfrm>
          <a:off x="6482715" y="2091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67E71165-4DB6-4979-831E-4E8760AB0C5E}"/>
            </a:ext>
          </a:extLst>
        </xdr:cNvPr>
        <xdr:cNvSpPr/>
      </xdr:nvSpPr>
      <xdr:spPr>
        <a:xfrm>
          <a:off x="6654165" y="22536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9FFE2A8-59F4-497A-84AD-CC5426D46A28}"/>
            </a:ext>
          </a:extLst>
        </xdr:cNvPr>
        <xdr:cNvSpPr/>
      </xdr:nvSpPr>
      <xdr:spPr>
        <a:xfrm>
          <a:off x="6339840" y="2396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95EE283-BB03-497F-B9E0-4B2A10A1C17C}"/>
            </a:ext>
          </a:extLst>
        </xdr:cNvPr>
        <xdr:cNvSpPr/>
      </xdr:nvSpPr>
      <xdr:spPr>
        <a:xfrm>
          <a:off x="6482715" y="2548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AC80528-E908-4627-8209-B51F9A776818}"/>
            </a:ext>
          </a:extLst>
        </xdr:cNvPr>
        <xdr:cNvSpPr/>
      </xdr:nvSpPr>
      <xdr:spPr>
        <a:xfrm>
          <a:off x="6654165" y="2710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FE34664-7547-405C-B629-726BDAA572BA}"/>
            </a:ext>
          </a:extLst>
        </xdr:cNvPr>
        <xdr:cNvSpPr/>
      </xdr:nvSpPr>
      <xdr:spPr>
        <a:xfrm>
          <a:off x="6339840" y="2853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5385B88-CE7C-41A2-A2A5-E3C6B664E3A1}"/>
            </a:ext>
          </a:extLst>
        </xdr:cNvPr>
        <xdr:cNvSpPr/>
      </xdr:nvSpPr>
      <xdr:spPr>
        <a:xfrm>
          <a:off x="6482715" y="3006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34F41607-D6A8-47D0-A6C6-096B030E44C5}"/>
            </a:ext>
          </a:extLst>
        </xdr:cNvPr>
        <xdr:cNvSpPr/>
      </xdr:nvSpPr>
      <xdr:spPr>
        <a:xfrm>
          <a:off x="6654165" y="3158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87ABE9B-0B4D-4B10-BCF7-5C4CE0039A18}"/>
            </a:ext>
          </a:extLst>
        </xdr:cNvPr>
        <xdr:cNvSpPr/>
      </xdr:nvSpPr>
      <xdr:spPr>
        <a:xfrm>
          <a:off x="6349365" y="3310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6453E73-94F6-4A1B-B2EB-C80937488A7F}"/>
            </a:ext>
          </a:extLst>
        </xdr:cNvPr>
        <xdr:cNvSpPr/>
      </xdr:nvSpPr>
      <xdr:spPr>
        <a:xfrm>
          <a:off x="6482715" y="3472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2F53BE39-0641-4DC5-B53B-F71A01F653DF}"/>
            </a:ext>
          </a:extLst>
        </xdr:cNvPr>
        <xdr:cNvSpPr/>
      </xdr:nvSpPr>
      <xdr:spPr>
        <a:xfrm>
          <a:off x="6663690" y="3615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CB1498-2337-4F15-953F-11C8E3745A31}"/>
            </a:ext>
          </a:extLst>
        </xdr:cNvPr>
        <xdr:cNvSpPr/>
      </xdr:nvSpPr>
      <xdr:spPr>
        <a:xfrm>
          <a:off x="6349365" y="3768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CA86F2A-5447-4F0D-BD6A-DDC6AB468447}"/>
            </a:ext>
          </a:extLst>
        </xdr:cNvPr>
        <xdr:cNvSpPr/>
      </xdr:nvSpPr>
      <xdr:spPr>
        <a:xfrm>
          <a:off x="6492240" y="3930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2589A60F-51D4-464C-A233-E09614F33EF2}"/>
            </a:ext>
          </a:extLst>
        </xdr:cNvPr>
        <xdr:cNvSpPr/>
      </xdr:nvSpPr>
      <xdr:spPr>
        <a:xfrm>
          <a:off x="6663690" y="4072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2B32DD2-8393-4616-B9DC-8321DD3906C0}"/>
            </a:ext>
          </a:extLst>
        </xdr:cNvPr>
        <xdr:cNvCxnSpPr/>
      </xdr:nvCxnSpPr>
      <xdr:spPr>
        <a:xfrm flipH="1" flipV="1">
          <a:off x="63588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10D96FF-180F-4C63-B55E-C6A2827AD1C1}"/>
            </a:ext>
          </a:extLst>
        </xdr:cNvPr>
        <xdr:cNvCxnSpPr/>
      </xdr:nvCxnSpPr>
      <xdr:spPr>
        <a:xfrm flipH="1" flipV="1">
          <a:off x="65112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BAA224F2-3D4A-4BA5-9AC8-015F84D3755A}"/>
            </a:ext>
          </a:extLst>
        </xdr:cNvPr>
        <xdr:cNvCxnSpPr/>
      </xdr:nvCxnSpPr>
      <xdr:spPr>
        <a:xfrm flipH="1" flipV="1">
          <a:off x="6682740" y="439674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D3DE699-E532-4C83-A683-626CDAB0E4A0}"/>
            </a:ext>
          </a:extLst>
        </xdr:cNvPr>
        <xdr:cNvCxnSpPr/>
      </xdr:nvCxnSpPr>
      <xdr:spPr>
        <a:xfrm>
          <a:off x="6263640" y="433006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:a16="http://schemas.microsoft.com/office/drawing/2014/main" id="{9E22A954-D47B-48E5-9F6D-8E3F6872BBB8}"/>
            </a:ext>
          </a:extLst>
        </xdr:cNvPr>
        <xdr:cNvSpPr/>
      </xdr:nvSpPr>
      <xdr:spPr>
        <a:xfrm rot="5400000">
          <a:off x="6325553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:a16="http://schemas.microsoft.com/office/drawing/2014/main" id="{3A8B75A5-D9E0-4C6C-83F7-4E9286174CC8}"/>
            </a:ext>
          </a:extLst>
        </xdr:cNvPr>
        <xdr:cNvSpPr/>
      </xdr:nvSpPr>
      <xdr:spPr>
        <a:xfrm rot="5400000">
          <a:off x="6477953" y="426815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:a16="http://schemas.microsoft.com/office/drawing/2014/main" id="{0713DC69-2B27-48CB-9C25-99CE3D1A033F}"/>
            </a:ext>
          </a:extLst>
        </xdr:cNvPr>
        <xdr:cNvSpPr/>
      </xdr:nvSpPr>
      <xdr:spPr>
        <a:xfrm rot="5400000">
          <a:off x="6620828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:a16="http://schemas.microsoft.com/office/drawing/2014/main" id="{446E6643-ED7B-4FBD-BA2B-5C6AD4E23BA2}"/>
            </a:ext>
          </a:extLst>
        </xdr:cNvPr>
        <xdr:cNvSpPr/>
      </xdr:nvSpPr>
      <xdr:spPr>
        <a:xfrm rot="10800000" flipH="1" flipV="1">
          <a:off x="6069330" y="1463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:a16="http://schemas.microsoft.com/office/drawing/2014/main" id="{C55EA739-BF3B-4509-9AD0-63CF258DF7E2}"/>
            </a:ext>
          </a:extLst>
        </xdr:cNvPr>
        <xdr:cNvSpPr/>
      </xdr:nvSpPr>
      <xdr:spPr>
        <a:xfrm rot="10800000" flipH="1" flipV="1">
          <a:off x="6059805" y="1624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:a16="http://schemas.microsoft.com/office/drawing/2014/main" id="{34E669E3-4984-49B8-81CD-2340D4BCE099}"/>
            </a:ext>
          </a:extLst>
        </xdr:cNvPr>
        <xdr:cNvSpPr/>
      </xdr:nvSpPr>
      <xdr:spPr>
        <a:xfrm rot="10800000" flipH="1" flipV="1">
          <a:off x="6059805" y="1767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:a16="http://schemas.microsoft.com/office/drawing/2014/main" id="{583B63F4-2453-4367-9CB7-CABD047CEB64}"/>
            </a:ext>
          </a:extLst>
        </xdr:cNvPr>
        <xdr:cNvSpPr/>
      </xdr:nvSpPr>
      <xdr:spPr>
        <a:xfrm rot="10800000" flipH="1" flipV="1">
          <a:off x="6050280" y="1920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:a16="http://schemas.microsoft.com/office/drawing/2014/main" id="{8C18A4B3-DF52-4C5C-AE4D-A73705E82B53}"/>
            </a:ext>
          </a:extLst>
        </xdr:cNvPr>
        <xdr:cNvSpPr/>
      </xdr:nvSpPr>
      <xdr:spPr>
        <a:xfrm rot="10800000" flipH="1" flipV="1">
          <a:off x="6808470" y="1472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:a16="http://schemas.microsoft.com/office/drawing/2014/main" id="{B7EFAEB6-1BFF-4D8D-97D6-AEB657FAAA96}"/>
            </a:ext>
          </a:extLst>
        </xdr:cNvPr>
        <xdr:cNvSpPr/>
      </xdr:nvSpPr>
      <xdr:spPr>
        <a:xfrm rot="10800000" flipH="1" flipV="1">
          <a:off x="6817995" y="160591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:a16="http://schemas.microsoft.com/office/drawing/2014/main" id="{4FF4F03B-8465-4D95-BA0B-2E2959254496}"/>
            </a:ext>
          </a:extLst>
        </xdr:cNvPr>
        <xdr:cNvSpPr/>
      </xdr:nvSpPr>
      <xdr:spPr>
        <a:xfrm rot="10800000" flipH="1" flipV="1">
          <a:off x="680847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:a16="http://schemas.microsoft.com/office/drawing/2014/main" id="{E6104B66-0836-4430-BEE3-F2BC4AF9E6D9}"/>
            </a:ext>
          </a:extLst>
        </xdr:cNvPr>
        <xdr:cNvSpPr/>
      </xdr:nvSpPr>
      <xdr:spPr>
        <a:xfrm rot="10800000" flipH="1" flipV="1">
          <a:off x="6040755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:a16="http://schemas.microsoft.com/office/drawing/2014/main" id="{1B8A1F26-28D2-4C0A-BA45-8676D76955EF}"/>
            </a:ext>
          </a:extLst>
        </xdr:cNvPr>
        <xdr:cNvSpPr/>
      </xdr:nvSpPr>
      <xdr:spPr>
        <a:xfrm rot="10800000" flipH="1" flipV="1">
          <a:off x="6808470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:a16="http://schemas.microsoft.com/office/drawing/2014/main" id="{B724CA3D-67A9-4404-88E6-CD429BD25D3F}"/>
            </a:ext>
          </a:extLst>
        </xdr:cNvPr>
        <xdr:cNvSpPr/>
      </xdr:nvSpPr>
      <xdr:spPr>
        <a:xfrm rot="10800000" flipH="1" flipV="1">
          <a:off x="6798945" y="2234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:a16="http://schemas.microsoft.com/office/drawing/2014/main" id="{CB96CBDA-E888-459F-ACE4-D4FC2BFF317D}"/>
            </a:ext>
          </a:extLst>
        </xdr:cNvPr>
        <xdr:cNvSpPr/>
      </xdr:nvSpPr>
      <xdr:spPr>
        <a:xfrm rot="10800000" flipH="1" flipV="1">
          <a:off x="6059805" y="2377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:a16="http://schemas.microsoft.com/office/drawing/2014/main" id="{72F349F9-D65A-4DFF-9A03-6A721B506A51}"/>
            </a:ext>
          </a:extLst>
        </xdr:cNvPr>
        <xdr:cNvSpPr/>
      </xdr:nvSpPr>
      <xdr:spPr>
        <a:xfrm rot="10800000" flipH="1" flipV="1">
          <a:off x="6798945" y="2386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:a16="http://schemas.microsoft.com/office/drawing/2014/main" id="{E6D4F405-0E9F-4909-AE91-E6D60FF3991E}"/>
            </a:ext>
          </a:extLst>
        </xdr:cNvPr>
        <xdr:cNvSpPr/>
      </xdr:nvSpPr>
      <xdr:spPr>
        <a:xfrm rot="10800000" flipH="1" flipV="1">
          <a:off x="6808470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:a16="http://schemas.microsoft.com/office/drawing/2014/main" id="{F61C4868-F240-45E3-BC3D-4EAADBA42156}"/>
            </a:ext>
          </a:extLst>
        </xdr:cNvPr>
        <xdr:cNvSpPr/>
      </xdr:nvSpPr>
      <xdr:spPr>
        <a:xfrm rot="10800000" flipH="1" flipV="1">
          <a:off x="6798945" y="2691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:a16="http://schemas.microsoft.com/office/drawing/2014/main" id="{5FBFF7A7-1038-45F3-AE3E-40080E68CF4B}"/>
            </a:ext>
          </a:extLst>
        </xdr:cNvPr>
        <xdr:cNvSpPr/>
      </xdr:nvSpPr>
      <xdr:spPr>
        <a:xfrm rot="10800000" flipH="1" flipV="1">
          <a:off x="6069330" y="2834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:a16="http://schemas.microsoft.com/office/drawing/2014/main" id="{2D31FA4E-CEAF-4E41-A7C6-3593E4A5A9F6}"/>
            </a:ext>
          </a:extLst>
        </xdr:cNvPr>
        <xdr:cNvSpPr/>
      </xdr:nvSpPr>
      <xdr:spPr>
        <a:xfrm rot="10800000" flipH="1" flipV="1">
          <a:off x="6808470" y="2844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:a16="http://schemas.microsoft.com/office/drawing/2014/main" id="{ABF6342F-3B6C-4B36-96E9-407CA2EA547F}"/>
            </a:ext>
          </a:extLst>
        </xdr:cNvPr>
        <xdr:cNvSpPr/>
      </xdr:nvSpPr>
      <xdr:spPr>
        <a:xfrm rot="10800000" flipH="1" flipV="1">
          <a:off x="6050280" y="298704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:a16="http://schemas.microsoft.com/office/drawing/2014/main" id="{1F0BEB4B-F547-4125-ABF8-E96EBE47EAD7}"/>
            </a:ext>
          </a:extLst>
        </xdr:cNvPr>
        <xdr:cNvSpPr/>
      </xdr:nvSpPr>
      <xdr:spPr>
        <a:xfrm rot="10800000" flipH="1" flipV="1">
          <a:off x="6798945" y="299656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:a16="http://schemas.microsoft.com/office/drawing/2014/main" id="{FFC0B505-13CF-4C15-9637-5B51CFFF1BA8}"/>
            </a:ext>
          </a:extLst>
        </xdr:cNvPr>
        <xdr:cNvSpPr/>
      </xdr:nvSpPr>
      <xdr:spPr>
        <a:xfrm rot="10800000" flipH="1" flipV="1">
          <a:off x="6050280" y="3148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:a16="http://schemas.microsoft.com/office/drawing/2014/main" id="{0D1C7059-53AC-4E98-A47B-2299E0A238A4}"/>
            </a:ext>
          </a:extLst>
        </xdr:cNvPr>
        <xdr:cNvSpPr/>
      </xdr:nvSpPr>
      <xdr:spPr>
        <a:xfrm rot="10800000" flipH="1" flipV="1">
          <a:off x="6808470" y="3139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:a16="http://schemas.microsoft.com/office/drawing/2014/main" id="{72440A50-09A6-43F0-B8A5-7B0E8CFEDFED}"/>
            </a:ext>
          </a:extLst>
        </xdr:cNvPr>
        <xdr:cNvSpPr/>
      </xdr:nvSpPr>
      <xdr:spPr>
        <a:xfrm rot="10800000" flipH="1" flipV="1">
          <a:off x="605028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:a16="http://schemas.microsoft.com/office/drawing/2014/main" id="{F543AD41-91A8-4F82-9895-8225B53725C0}"/>
            </a:ext>
          </a:extLst>
        </xdr:cNvPr>
        <xdr:cNvSpPr/>
      </xdr:nvSpPr>
      <xdr:spPr>
        <a:xfrm rot="10800000" flipH="1" flipV="1">
          <a:off x="682752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:a16="http://schemas.microsoft.com/office/drawing/2014/main" id="{301C5B6F-4FE3-4F12-A6B3-7AE82C584D23}"/>
            </a:ext>
          </a:extLst>
        </xdr:cNvPr>
        <xdr:cNvSpPr/>
      </xdr:nvSpPr>
      <xdr:spPr>
        <a:xfrm rot="10800000" flipH="1" flipV="1">
          <a:off x="6059805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:a16="http://schemas.microsoft.com/office/drawing/2014/main" id="{A227900B-9AF9-47BF-87E7-F6E401F54FBA}"/>
            </a:ext>
          </a:extLst>
        </xdr:cNvPr>
        <xdr:cNvSpPr/>
      </xdr:nvSpPr>
      <xdr:spPr>
        <a:xfrm rot="10800000" flipH="1" flipV="1">
          <a:off x="6808470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:a16="http://schemas.microsoft.com/office/drawing/2014/main" id="{50708A0E-CA06-44BC-A460-82A59A29AD42}"/>
            </a:ext>
          </a:extLst>
        </xdr:cNvPr>
        <xdr:cNvSpPr/>
      </xdr:nvSpPr>
      <xdr:spPr>
        <a:xfrm rot="10800000" flipH="1" flipV="1">
          <a:off x="6059805" y="3606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:a16="http://schemas.microsoft.com/office/drawing/2014/main" id="{F7D9C726-8010-4C57-9865-6F7F7EF610C0}"/>
            </a:ext>
          </a:extLst>
        </xdr:cNvPr>
        <xdr:cNvSpPr/>
      </xdr:nvSpPr>
      <xdr:spPr>
        <a:xfrm rot="10800000" flipH="1" flipV="1">
          <a:off x="6808470" y="3596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:a16="http://schemas.microsoft.com/office/drawing/2014/main" id="{B5A740B6-41AE-4BC3-A58F-741B7CE101A7}"/>
            </a:ext>
          </a:extLst>
        </xdr:cNvPr>
        <xdr:cNvSpPr/>
      </xdr:nvSpPr>
      <xdr:spPr>
        <a:xfrm rot="10800000" flipH="1" flipV="1">
          <a:off x="605028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:a16="http://schemas.microsoft.com/office/drawing/2014/main" id="{963AB430-10DD-4561-82E7-DEBDFEAA691A}"/>
            </a:ext>
          </a:extLst>
        </xdr:cNvPr>
        <xdr:cNvSpPr/>
      </xdr:nvSpPr>
      <xdr:spPr>
        <a:xfrm rot="10800000" flipH="1" flipV="1">
          <a:off x="680847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:a16="http://schemas.microsoft.com/office/drawing/2014/main" id="{1FFEA433-2894-4722-87C5-7D0A705FACE5}"/>
            </a:ext>
          </a:extLst>
        </xdr:cNvPr>
        <xdr:cNvSpPr/>
      </xdr:nvSpPr>
      <xdr:spPr>
        <a:xfrm rot="10800000" flipH="1" flipV="1">
          <a:off x="605980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:a16="http://schemas.microsoft.com/office/drawing/2014/main" id="{73CD1213-DFB9-4CE4-8C74-4C2D1A60BCEF}"/>
            </a:ext>
          </a:extLst>
        </xdr:cNvPr>
        <xdr:cNvSpPr/>
      </xdr:nvSpPr>
      <xdr:spPr>
        <a:xfrm rot="10800000" flipH="1" flipV="1">
          <a:off x="681799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:a16="http://schemas.microsoft.com/office/drawing/2014/main" id="{E67285C0-9890-4DB0-9FD8-55074553EB98}"/>
            </a:ext>
          </a:extLst>
        </xdr:cNvPr>
        <xdr:cNvSpPr/>
      </xdr:nvSpPr>
      <xdr:spPr>
        <a:xfrm rot="10800000" flipH="1" flipV="1">
          <a:off x="604075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:a16="http://schemas.microsoft.com/office/drawing/2014/main" id="{B6F791F3-BC1B-47DD-B510-E3ABE60B68E8}"/>
            </a:ext>
          </a:extLst>
        </xdr:cNvPr>
        <xdr:cNvSpPr/>
      </xdr:nvSpPr>
      <xdr:spPr>
        <a:xfrm rot="10800000" flipH="1" flipV="1">
          <a:off x="681799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0</xdr:colOff>
      <xdr:row>16</xdr:row>
      <xdr:rowOff>0</xdr:rowOff>
    </xdr:from>
    <xdr:ext cx="1859280" cy="1379220"/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82D232B8-D7DB-4E42-9179-E3D242041233}"/>
            </a:ext>
          </a:extLst>
        </xdr:cNvPr>
        <xdr:cNvCxnSpPr/>
      </xdr:nvCxnSpPr>
      <xdr:spPr>
        <a:xfrm>
          <a:off x="0" y="2720340"/>
          <a:ext cx="1859280" cy="137922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15240</xdr:colOff>
      <xdr:row>16</xdr:row>
      <xdr:rowOff>7620</xdr:rowOff>
    </xdr:from>
    <xdr:ext cx="1844040" cy="1363980"/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7690117C-9BA2-4E79-9A6A-F1D22CA238F4}"/>
            </a:ext>
          </a:extLst>
        </xdr:cNvPr>
        <xdr:cNvCxnSpPr/>
      </xdr:nvCxnSpPr>
      <xdr:spPr>
        <a:xfrm flipH="1">
          <a:off x="15240" y="2727960"/>
          <a:ext cx="1844040" cy="136398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15240</xdr:colOff>
      <xdr:row>16</xdr:row>
      <xdr:rowOff>0</xdr:rowOff>
    </xdr:from>
    <xdr:ext cx="1714500" cy="1371600"/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926F255E-3A8E-4461-97B2-45FB849440C2}"/>
            </a:ext>
          </a:extLst>
        </xdr:cNvPr>
        <xdr:cNvCxnSpPr/>
      </xdr:nvCxnSpPr>
      <xdr:spPr>
        <a:xfrm>
          <a:off x="11125200" y="2720340"/>
          <a:ext cx="1714500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22860</xdr:colOff>
      <xdr:row>16</xdr:row>
      <xdr:rowOff>7620</xdr:rowOff>
    </xdr:from>
    <xdr:ext cx="1714500" cy="1363980"/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2CA08BB9-5E44-4DEE-86C1-D416304923D4}"/>
            </a:ext>
          </a:extLst>
        </xdr:cNvPr>
        <xdr:cNvCxnSpPr/>
      </xdr:nvCxnSpPr>
      <xdr:spPr>
        <a:xfrm flipH="1">
          <a:off x="11132820" y="2727960"/>
          <a:ext cx="1714500" cy="136398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:a16="http://schemas.microsoft.com/office/drawing/2014/main" id="{48DD24E0-B7B8-4CC1-ABDE-4289D771AB42}"/>
            </a:ext>
          </a:extLst>
        </xdr:cNvPr>
        <xdr:cNvSpPr/>
      </xdr:nvSpPr>
      <xdr:spPr>
        <a:xfrm rot="10800000" flipH="1" flipV="1">
          <a:off x="6059805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:a16="http://schemas.microsoft.com/office/drawing/2014/main" id="{8F880B1E-35D3-4A32-A2A3-9B3495D3E91B}"/>
            </a:ext>
          </a:extLst>
        </xdr:cNvPr>
        <xdr:cNvSpPr/>
      </xdr:nvSpPr>
      <xdr:spPr>
        <a:xfrm rot="10800000" flipH="1" flipV="1">
          <a:off x="680847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:a16="http://schemas.microsoft.com/office/drawing/2014/main" id="{2A02FD14-39F0-48A5-AAFE-FCA6E8C97086}"/>
            </a:ext>
          </a:extLst>
        </xdr:cNvPr>
        <xdr:cNvSpPr/>
      </xdr:nvSpPr>
      <xdr:spPr>
        <a:xfrm rot="10800000" flipH="1" flipV="1">
          <a:off x="6040755" y="2225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:a16="http://schemas.microsoft.com/office/drawing/2014/main" id="{9BD6FD10-40B1-4221-BB0A-3693BD615F50}"/>
            </a:ext>
          </a:extLst>
        </xdr:cNvPr>
        <xdr:cNvSpPr/>
      </xdr:nvSpPr>
      <xdr:spPr>
        <a:xfrm rot="10800000" flipH="1" flipV="1">
          <a:off x="680847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 lang="en-NG"/>
        </a:p>
      </xdr:txBody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:a16="http://schemas.microsoft.com/office/drawing/2014/main" id="{CE3B6B2E-483C-426E-88C2-5299D85CB5F7}"/>
            </a:ext>
          </a:extLst>
        </xdr:cNvPr>
        <xdr:cNvSpPr/>
      </xdr:nvSpPr>
      <xdr:spPr>
        <a:xfrm rot="10800000" flipH="1" flipV="1">
          <a:off x="680847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:a16="http://schemas.microsoft.com/office/drawing/2014/main" id="{432804AE-2660-4AF7-BB1F-AEBC4DC733DA}"/>
            </a:ext>
          </a:extLst>
        </xdr:cNvPr>
        <xdr:cNvSpPr/>
      </xdr:nvSpPr>
      <xdr:spPr>
        <a:xfrm rot="10800000" flipH="1" flipV="1">
          <a:off x="6050280" y="2682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E64F285-4C1C-4E63-A886-E1BC19C5FCB9}"/>
            </a:ext>
          </a:extLst>
        </xdr:cNvPr>
        <xdr:cNvCxnSpPr/>
      </xdr:nvCxnSpPr>
      <xdr:spPr>
        <a:xfrm>
          <a:off x="6250305" y="1501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F08219D-B289-4EFA-AB19-44DA8C3D0ED2}"/>
            </a:ext>
          </a:extLst>
        </xdr:cNvPr>
        <xdr:cNvCxnSpPr/>
      </xdr:nvCxnSpPr>
      <xdr:spPr>
        <a:xfrm>
          <a:off x="6259830" y="1653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A7B9DC-E1BC-450F-8730-924857B21B91}"/>
            </a:ext>
          </a:extLst>
        </xdr:cNvPr>
        <xdr:cNvCxnSpPr/>
      </xdr:nvCxnSpPr>
      <xdr:spPr>
        <a:xfrm>
          <a:off x="6250305" y="1805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E0F137A-3183-445D-BA59-E25101EFA00D}"/>
            </a:ext>
          </a:extLst>
        </xdr:cNvPr>
        <xdr:cNvCxnSpPr/>
      </xdr:nvCxnSpPr>
      <xdr:spPr>
        <a:xfrm>
          <a:off x="6250305" y="1958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13EF402-602F-4DB6-9BA2-780443C4B0E3}"/>
            </a:ext>
          </a:extLst>
        </xdr:cNvPr>
        <xdr:cNvCxnSpPr/>
      </xdr:nvCxnSpPr>
      <xdr:spPr>
        <a:xfrm>
          <a:off x="6250305" y="2110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ED6878D-2F90-447C-9A55-AC67B51350A7}"/>
            </a:ext>
          </a:extLst>
        </xdr:cNvPr>
        <xdr:cNvCxnSpPr/>
      </xdr:nvCxnSpPr>
      <xdr:spPr>
        <a:xfrm>
          <a:off x="6250305" y="2263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6995806-6C61-4510-BFA1-B18887A90F64}"/>
            </a:ext>
          </a:extLst>
        </xdr:cNvPr>
        <xdr:cNvCxnSpPr/>
      </xdr:nvCxnSpPr>
      <xdr:spPr>
        <a:xfrm>
          <a:off x="6250305" y="2415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662DFAF-30FE-4C96-AA4F-1D10B33DE8BE}"/>
            </a:ext>
          </a:extLst>
        </xdr:cNvPr>
        <xdr:cNvCxnSpPr/>
      </xdr:nvCxnSpPr>
      <xdr:spPr>
        <a:xfrm>
          <a:off x="6250305" y="2567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59C7D94-09A0-4FDF-A8F2-2AA0B86912E4}"/>
            </a:ext>
          </a:extLst>
        </xdr:cNvPr>
        <xdr:cNvCxnSpPr/>
      </xdr:nvCxnSpPr>
      <xdr:spPr>
        <a:xfrm>
          <a:off x="6250305" y="2720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D6A0FD0-A468-4620-AB07-8F3F043D999D}"/>
            </a:ext>
          </a:extLst>
        </xdr:cNvPr>
        <xdr:cNvCxnSpPr/>
      </xdr:nvCxnSpPr>
      <xdr:spPr>
        <a:xfrm>
          <a:off x="6250305" y="2872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F611E35-4835-43B7-A596-5DAE40680413}"/>
            </a:ext>
          </a:extLst>
        </xdr:cNvPr>
        <xdr:cNvCxnSpPr/>
      </xdr:nvCxnSpPr>
      <xdr:spPr>
        <a:xfrm>
          <a:off x="6250305" y="3025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2A13213-A630-4A0B-99AA-23699FCC8FE8}"/>
            </a:ext>
          </a:extLst>
        </xdr:cNvPr>
        <xdr:cNvCxnSpPr/>
      </xdr:nvCxnSpPr>
      <xdr:spPr>
        <a:xfrm>
          <a:off x="6250305" y="3177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3B0F990-B251-4C2E-8081-B1B918022281}"/>
            </a:ext>
          </a:extLst>
        </xdr:cNvPr>
        <xdr:cNvCxnSpPr/>
      </xdr:nvCxnSpPr>
      <xdr:spPr>
        <a:xfrm>
          <a:off x="6250305" y="3329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11828FC-B7C9-47BF-B8BD-12D0114C189D}"/>
            </a:ext>
          </a:extLst>
        </xdr:cNvPr>
        <xdr:cNvCxnSpPr/>
      </xdr:nvCxnSpPr>
      <xdr:spPr>
        <a:xfrm>
          <a:off x="6250305" y="3482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9E02A57-D344-490A-8D04-96FBDAA08BA7}"/>
            </a:ext>
          </a:extLst>
        </xdr:cNvPr>
        <xdr:cNvCxnSpPr/>
      </xdr:nvCxnSpPr>
      <xdr:spPr>
        <a:xfrm>
          <a:off x="6250305" y="3634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BECD1C3-ECC2-4A0C-950A-9AA823DBF01A}"/>
            </a:ext>
          </a:extLst>
        </xdr:cNvPr>
        <xdr:cNvCxnSpPr/>
      </xdr:nvCxnSpPr>
      <xdr:spPr>
        <a:xfrm>
          <a:off x="6250305" y="3787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1FC653B-6233-42B6-9BC1-44ABF2B54668}"/>
            </a:ext>
          </a:extLst>
        </xdr:cNvPr>
        <xdr:cNvCxnSpPr/>
      </xdr:nvCxnSpPr>
      <xdr:spPr>
        <a:xfrm>
          <a:off x="6250305" y="3939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0C91DF6-4960-407A-9EF9-CE49682C53B9}"/>
            </a:ext>
          </a:extLst>
        </xdr:cNvPr>
        <xdr:cNvCxnSpPr/>
      </xdr:nvCxnSpPr>
      <xdr:spPr>
        <a:xfrm>
          <a:off x="6250305" y="4091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9CBBC9D-19E3-486C-9034-227714FA5E95}"/>
            </a:ext>
          </a:extLst>
        </xdr:cNvPr>
        <xdr:cNvCxnSpPr/>
      </xdr:nvCxnSpPr>
      <xdr:spPr>
        <a:xfrm>
          <a:off x="6358890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74AA07B-DE90-4848-B23F-B67C75D4F237}"/>
            </a:ext>
          </a:extLst>
        </xdr:cNvPr>
        <xdr:cNvCxnSpPr/>
      </xdr:nvCxnSpPr>
      <xdr:spPr>
        <a:xfrm>
          <a:off x="6501765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819EA70-A07D-4712-90B2-1BDB4AFBA6EB}"/>
            </a:ext>
          </a:extLst>
        </xdr:cNvPr>
        <xdr:cNvCxnSpPr/>
      </xdr:nvCxnSpPr>
      <xdr:spPr>
        <a:xfrm>
          <a:off x="6692265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BDA5F3A-DD4A-44B1-95E7-52BC83A77E36}"/>
            </a:ext>
          </a:extLst>
        </xdr:cNvPr>
        <xdr:cNvSpPr/>
      </xdr:nvSpPr>
      <xdr:spPr>
        <a:xfrm>
          <a:off x="6330315" y="1482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9B47023-5C1E-4E17-8CDE-640FFBCBA424}"/>
            </a:ext>
          </a:extLst>
        </xdr:cNvPr>
        <xdr:cNvSpPr/>
      </xdr:nvSpPr>
      <xdr:spPr>
        <a:xfrm>
          <a:off x="6482715" y="1644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CCBADD9D-7E3D-49A9-8869-DA6C6D472DC6}"/>
            </a:ext>
          </a:extLst>
        </xdr:cNvPr>
        <xdr:cNvSpPr/>
      </xdr:nvSpPr>
      <xdr:spPr>
        <a:xfrm>
          <a:off x="6654165" y="1786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7155B89-AA73-4A8E-BAA1-05DEB8DD2AA8}"/>
            </a:ext>
          </a:extLst>
        </xdr:cNvPr>
        <xdr:cNvSpPr/>
      </xdr:nvSpPr>
      <xdr:spPr>
        <a:xfrm>
          <a:off x="6339840" y="19392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762B7246-FCD8-4D0E-91E5-CA8B0CA89C3A}"/>
            </a:ext>
          </a:extLst>
        </xdr:cNvPr>
        <xdr:cNvSpPr/>
      </xdr:nvSpPr>
      <xdr:spPr>
        <a:xfrm>
          <a:off x="6482715" y="2091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73D8CCA5-7124-46FD-93AE-E38ABBEBE620}"/>
            </a:ext>
          </a:extLst>
        </xdr:cNvPr>
        <xdr:cNvSpPr/>
      </xdr:nvSpPr>
      <xdr:spPr>
        <a:xfrm>
          <a:off x="6654165" y="22536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27903FC-18E5-48C0-9394-1E34E1543D2B}"/>
            </a:ext>
          </a:extLst>
        </xdr:cNvPr>
        <xdr:cNvSpPr/>
      </xdr:nvSpPr>
      <xdr:spPr>
        <a:xfrm>
          <a:off x="6339840" y="2396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8B1BC45-4626-4B4A-83A9-6DBCBF422AFE}"/>
            </a:ext>
          </a:extLst>
        </xdr:cNvPr>
        <xdr:cNvSpPr/>
      </xdr:nvSpPr>
      <xdr:spPr>
        <a:xfrm>
          <a:off x="6482715" y="2548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1CD59B22-C7D3-4EB7-8346-54807310463D}"/>
            </a:ext>
          </a:extLst>
        </xdr:cNvPr>
        <xdr:cNvSpPr/>
      </xdr:nvSpPr>
      <xdr:spPr>
        <a:xfrm>
          <a:off x="6654165" y="2710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C39D2DC-2909-4CB4-8E8A-2DF59C50FE63}"/>
            </a:ext>
          </a:extLst>
        </xdr:cNvPr>
        <xdr:cNvSpPr/>
      </xdr:nvSpPr>
      <xdr:spPr>
        <a:xfrm>
          <a:off x="6339840" y="2853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DF677EA8-6285-4BAE-9DCC-A7D803538A9D}"/>
            </a:ext>
          </a:extLst>
        </xdr:cNvPr>
        <xdr:cNvSpPr/>
      </xdr:nvSpPr>
      <xdr:spPr>
        <a:xfrm>
          <a:off x="6482715" y="3006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A72CA6EE-601D-4633-99BC-6F6C60BDE710}"/>
            </a:ext>
          </a:extLst>
        </xdr:cNvPr>
        <xdr:cNvSpPr/>
      </xdr:nvSpPr>
      <xdr:spPr>
        <a:xfrm>
          <a:off x="6654165" y="3158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D3AEA5B9-E668-4807-AF3B-99B2EE0B5A69}"/>
            </a:ext>
          </a:extLst>
        </xdr:cNvPr>
        <xdr:cNvSpPr/>
      </xdr:nvSpPr>
      <xdr:spPr>
        <a:xfrm>
          <a:off x="6349365" y="3310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A838E3C-2079-4752-9AE0-2323514DA07A}"/>
            </a:ext>
          </a:extLst>
        </xdr:cNvPr>
        <xdr:cNvSpPr/>
      </xdr:nvSpPr>
      <xdr:spPr>
        <a:xfrm>
          <a:off x="6482715" y="3472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76770FB-C93D-4888-A248-1CE076751550}"/>
            </a:ext>
          </a:extLst>
        </xdr:cNvPr>
        <xdr:cNvSpPr/>
      </xdr:nvSpPr>
      <xdr:spPr>
        <a:xfrm>
          <a:off x="6663690" y="3615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89572B0-B46B-4821-8F9A-2AAF18A0185E}"/>
            </a:ext>
          </a:extLst>
        </xdr:cNvPr>
        <xdr:cNvSpPr/>
      </xdr:nvSpPr>
      <xdr:spPr>
        <a:xfrm>
          <a:off x="6349365" y="3768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0E06443-A179-4868-8270-12A914B0761B}"/>
            </a:ext>
          </a:extLst>
        </xdr:cNvPr>
        <xdr:cNvSpPr/>
      </xdr:nvSpPr>
      <xdr:spPr>
        <a:xfrm>
          <a:off x="6492240" y="3930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7C950601-EC93-48CC-B073-200ADE1DB181}"/>
            </a:ext>
          </a:extLst>
        </xdr:cNvPr>
        <xdr:cNvSpPr/>
      </xdr:nvSpPr>
      <xdr:spPr>
        <a:xfrm>
          <a:off x="6663690" y="4072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7C8EDE3-11C5-494E-ABDA-64FA96C025A4}"/>
            </a:ext>
          </a:extLst>
        </xdr:cNvPr>
        <xdr:cNvCxnSpPr/>
      </xdr:nvCxnSpPr>
      <xdr:spPr>
        <a:xfrm flipH="1" flipV="1">
          <a:off x="63588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BB50F37-A29C-4A7F-A4D5-3BE4C0E31E25}"/>
            </a:ext>
          </a:extLst>
        </xdr:cNvPr>
        <xdr:cNvCxnSpPr/>
      </xdr:nvCxnSpPr>
      <xdr:spPr>
        <a:xfrm flipH="1" flipV="1">
          <a:off x="65112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62BDB3B-6172-48B7-BCA3-D4D2EFD698E3}"/>
            </a:ext>
          </a:extLst>
        </xdr:cNvPr>
        <xdr:cNvCxnSpPr/>
      </xdr:nvCxnSpPr>
      <xdr:spPr>
        <a:xfrm flipH="1" flipV="1">
          <a:off x="6682740" y="439674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7B4B202-35BA-45C2-A09A-0FFDC3AC9A7D}"/>
            </a:ext>
          </a:extLst>
        </xdr:cNvPr>
        <xdr:cNvCxnSpPr/>
      </xdr:nvCxnSpPr>
      <xdr:spPr>
        <a:xfrm>
          <a:off x="6263640" y="433006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:a16="http://schemas.microsoft.com/office/drawing/2014/main" id="{3FF033F7-C5EC-48FA-BB21-B58F0D225580}"/>
            </a:ext>
          </a:extLst>
        </xdr:cNvPr>
        <xdr:cNvSpPr/>
      </xdr:nvSpPr>
      <xdr:spPr>
        <a:xfrm rot="5400000">
          <a:off x="6325553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:a16="http://schemas.microsoft.com/office/drawing/2014/main" id="{4286731F-A745-4436-81FC-4354F0840A39}"/>
            </a:ext>
          </a:extLst>
        </xdr:cNvPr>
        <xdr:cNvSpPr/>
      </xdr:nvSpPr>
      <xdr:spPr>
        <a:xfrm rot="5400000">
          <a:off x="6477953" y="426815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:a16="http://schemas.microsoft.com/office/drawing/2014/main" id="{8DEC6330-BF28-4C06-BE8E-F504CD1EAFBA}"/>
            </a:ext>
          </a:extLst>
        </xdr:cNvPr>
        <xdr:cNvSpPr/>
      </xdr:nvSpPr>
      <xdr:spPr>
        <a:xfrm rot="5400000">
          <a:off x="6620828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:a16="http://schemas.microsoft.com/office/drawing/2014/main" id="{58308C0B-2F94-4FB7-8180-2FA10B484D99}"/>
            </a:ext>
          </a:extLst>
        </xdr:cNvPr>
        <xdr:cNvSpPr/>
      </xdr:nvSpPr>
      <xdr:spPr>
        <a:xfrm rot="10800000" flipH="1" flipV="1">
          <a:off x="6069330" y="1463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:a16="http://schemas.microsoft.com/office/drawing/2014/main" id="{256E84E2-C5CE-493C-92AB-37DF31AB7964}"/>
            </a:ext>
          </a:extLst>
        </xdr:cNvPr>
        <xdr:cNvSpPr/>
      </xdr:nvSpPr>
      <xdr:spPr>
        <a:xfrm rot="10800000" flipH="1" flipV="1">
          <a:off x="6059805" y="1624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:a16="http://schemas.microsoft.com/office/drawing/2014/main" id="{A348C630-3157-4B3E-A687-21824328E2E2}"/>
            </a:ext>
          </a:extLst>
        </xdr:cNvPr>
        <xdr:cNvSpPr/>
      </xdr:nvSpPr>
      <xdr:spPr>
        <a:xfrm rot="10800000" flipH="1" flipV="1">
          <a:off x="6059805" y="1767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:a16="http://schemas.microsoft.com/office/drawing/2014/main" id="{A7E3AB3E-BFFE-4742-A62C-43639CBD7193}"/>
            </a:ext>
          </a:extLst>
        </xdr:cNvPr>
        <xdr:cNvSpPr/>
      </xdr:nvSpPr>
      <xdr:spPr>
        <a:xfrm rot="10800000" flipH="1" flipV="1">
          <a:off x="6050280" y="1920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:a16="http://schemas.microsoft.com/office/drawing/2014/main" id="{288187CB-ECF4-455E-824E-7BFD2A8932DD}"/>
            </a:ext>
          </a:extLst>
        </xdr:cNvPr>
        <xdr:cNvSpPr/>
      </xdr:nvSpPr>
      <xdr:spPr>
        <a:xfrm rot="10800000" flipH="1" flipV="1">
          <a:off x="6808470" y="1472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:a16="http://schemas.microsoft.com/office/drawing/2014/main" id="{B37E81AA-06B3-4428-A5D1-DD601BA3C710}"/>
            </a:ext>
          </a:extLst>
        </xdr:cNvPr>
        <xdr:cNvSpPr/>
      </xdr:nvSpPr>
      <xdr:spPr>
        <a:xfrm rot="10800000" flipH="1" flipV="1">
          <a:off x="6817995" y="160591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:a16="http://schemas.microsoft.com/office/drawing/2014/main" id="{243F787E-63B8-4C5F-BAF8-EB62113F37E0}"/>
            </a:ext>
          </a:extLst>
        </xdr:cNvPr>
        <xdr:cNvSpPr/>
      </xdr:nvSpPr>
      <xdr:spPr>
        <a:xfrm rot="10800000" flipH="1" flipV="1">
          <a:off x="680847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:a16="http://schemas.microsoft.com/office/drawing/2014/main" id="{47D14DB9-1840-46EA-B32C-3A8C90DF42FC}"/>
            </a:ext>
          </a:extLst>
        </xdr:cNvPr>
        <xdr:cNvSpPr/>
      </xdr:nvSpPr>
      <xdr:spPr>
        <a:xfrm rot="10800000" flipH="1" flipV="1">
          <a:off x="6040755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:a16="http://schemas.microsoft.com/office/drawing/2014/main" id="{2333188F-C440-43FC-8AC0-C5A534777021}"/>
            </a:ext>
          </a:extLst>
        </xdr:cNvPr>
        <xdr:cNvSpPr/>
      </xdr:nvSpPr>
      <xdr:spPr>
        <a:xfrm rot="10800000" flipH="1" flipV="1">
          <a:off x="6808470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:a16="http://schemas.microsoft.com/office/drawing/2014/main" id="{AAA7BBF6-518A-41B9-9CE6-226704DBE769}"/>
            </a:ext>
          </a:extLst>
        </xdr:cNvPr>
        <xdr:cNvSpPr/>
      </xdr:nvSpPr>
      <xdr:spPr>
        <a:xfrm rot="10800000" flipH="1" flipV="1">
          <a:off x="6798945" y="2234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:a16="http://schemas.microsoft.com/office/drawing/2014/main" id="{BDE0BE4C-24AC-47F1-9114-D363B98CB4AB}"/>
            </a:ext>
          </a:extLst>
        </xdr:cNvPr>
        <xdr:cNvSpPr/>
      </xdr:nvSpPr>
      <xdr:spPr>
        <a:xfrm rot="10800000" flipH="1" flipV="1">
          <a:off x="6059805" y="2377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:a16="http://schemas.microsoft.com/office/drawing/2014/main" id="{BCD965DC-B3D1-4D28-838C-96F7054CC655}"/>
            </a:ext>
          </a:extLst>
        </xdr:cNvPr>
        <xdr:cNvSpPr/>
      </xdr:nvSpPr>
      <xdr:spPr>
        <a:xfrm rot="10800000" flipH="1" flipV="1">
          <a:off x="6798945" y="2386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:a16="http://schemas.microsoft.com/office/drawing/2014/main" id="{D41105F9-B4A1-48C6-8141-9D9C3022042C}"/>
            </a:ext>
          </a:extLst>
        </xdr:cNvPr>
        <xdr:cNvSpPr/>
      </xdr:nvSpPr>
      <xdr:spPr>
        <a:xfrm rot="10800000" flipH="1" flipV="1">
          <a:off x="6808470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:a16="http://schemas.microsoft.com/office/drawing/2014/main" id="{B15F4A1C-57A6-4C79-B6C4-A947103F8B12}"/>
            </a:ext>
          </a:extLst>
        </xdr:cNvPr>
        <xdr:cNvSpPr/>
      </xdr:nvSpPr>
      <xdr:spPr>
        <a:xfrm rot="10800000" flipH="1" flipV="1">
          <a:off x="6798945" y="2691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:a16="http://schemas.microsoft.com/office/drawing/2014/main" id="{B6FB506D-3F38-4ADD-A031-2BAB794382A7}"/>
            </a:ext>
          </a:extLst>
        </xdr:cNvPr>
        <xdr:cNvSpPr/>
      </xdr:nvSpPr>
      <xdr:spPr>
        <a:xfrm rot="10800000" flipH="1" flipV="1">
          <a:off x="6069330" y="2834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:a16="http://schemas.microsoft.com/office/drawing/2014/main" id="{F9342C3F-2A63-41F6-BB17-E9414E411E97}"/>
            </a:ext>
          </a:extLst>
        </xdr:cNvPr>
        <xdr:cNvSpPr/>
      </xdr:nvSpPr>
      <xdr:spPr>
        <a:xfrm rot="10800000" flipH="1" flipV="1">
          <a:off x="6808470" y="2844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:a16="http://schemas.microsoft.com/office/drawing/2014/main" id="{1A356592-7FDB-4752-BD5E-BCB07E18A56C}"/>
            </a:ext>
          </a:extLst>
        </xdr:cNvPr>
        <xdr:cNvSpPr/>
      </xdr:nvSpPr>
      <xdr:spPr>
        <a:xfrm rot="10800000" flipH="1" flipV="1">
          <a:off x="6050280" y="298704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:a16="http://schemas.microsoft.com/office/drawing/2014/main" id="{B60B08EE-C88E-4D48-BC9C-CED06AF6B3FE}"/>
            </a:ext>
          </a:extLst>
        </xdr:cNvPr>
        <xdr:cNvSpPr/>
      </xdr:nvSpPr>
      <xdr:spPr>
        <a:xfrm rot="10800000" flipH="1" flipV="1">
          <a:off x="6798945" y="299656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:a16="http://schemas.microsoft.com/office/drawing/2014/main" id="{D3A617AF-2665-4962-BEAF-09005068E5CC}"/>
            </a:ext>
          </a:extLst>
        </xdr:cNvPr>
        <xdr:cNvSpPr/>
      </xdr:nvSpPr>
      <xdr:spPr>
        <a:xfrm rot="10800000" flipH="1" flipV="1">
          <a:off x="6050280" y="3148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:a16="http://schemas.microsoft.com/office/drawing/2014/main" id="{6FB76BCA-4F38-4EC7-9329-E265ABB50D3B}"/>
            </a:ext>
          </a:extLst>
        </xdr:cNvPr>
        <xdr:cNvSpPr/>
      </xdr:nvSpPr>
      <xdr:spPr>
        <a:xfrm rot="10800000" flipH="1" flipV="1">
          <a:off x="6808470" y="3139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:a16="http://schemas.microsoft.com/office/drawing/2014/main" id="{463BA7EC-AA20-48F4-ACC7-663671226D70}"/>
            </a:ext>
          </a:extLst>
        </xdr:cNvPr>
        <xdr:cNvSpPr/>
      </xdr:nvSpPr>
      <xdr:spPr>
        <a:xfrm rot="10800000" flipH="1" flipV="1">
          <a:off x="605028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:a16="http://schemas.microsoft.com/office/drawing/2014/main" id="{4FBE7246-466A-47E2-84A0-BF99968F874F}"/>
            </a:ext>
          </a:extLst>
        </xdr:cNvPr>
        <xdr:cNvSpPr/>
      </xdr:nvSpPr>
      <xdr:spPr>
        <a:xfrm rot="10800000" flipH="1" flipV="1">
          <a:off x="682752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:a16="http://schemas.microsoft.com/office/drawing/2014/main" id="{97C91504-B407-49AD-B4A8-93F682530DB4}"/>
            </a:ext>
          </a:extLst>
        </xdr:cNvPr>
        <xdr:cNvSpPr/>
      </xdr:nvSpPr>
      <xdr:spPr>
        <a:xfrm rot="10800000" flipH="1" flipV="1">
          <a:off x="6059805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:a16="http://schemas.microsoft.com/office/drawing/2014/main" id="{D9EE9288-8972-46F7-AF77-83A6A366A94C}"/>
            </a:ext>
          </a:extLst>
        </xdr:cNvPr>
        <xdr:cNvSpPr/>
      </xdr:nvSpPr>
      <xdr:spPr>
        <a:xfrm rot="10800000" flipH="1" flipV="1">
          <a:off x="6808470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:a16="http://schemas.microsoft.com/office/drawing/2014/main" id="{E669F135-9864-47C6-B43E-28408D29A76F}"/>
            </a:ext>
          </a:extLst>
        </xdr:cNvPr>
        <xdr:cNvSpPr/>
      </xdr:nvSpPr>
      <xdr:spPr>
        <a:xfrm rot="10800000" flipH="1" flipV="1">
          <a:off x="6059805" y="3606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:a16="http://schemas.microsoft.com/office/drawing/2014/main" id="{5DB1106B-D4B8-4B81-8377-3E5D116E48E9}"/>
            </a:ext>
          </a:extLst>
        </xdr:cNvPr>
        <xdr:cNvSpPr/>
      </xdr:nvSpPr>
      <xdr:spPr>
        <a:xfrm rot="10800000" flipH="1" flipV="1">
          <a:off x="6808470" y="3596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:a16="http://schemas.microsoft.com/office/drawing/2014/main" id="{354BEB2D-0491-426B-B560-2D0E28A0EE13}"/>
            </a:ext>
          </a:extLst>
        </xdr:cNvPr>
        <xdr:cNvSpPr/>
      </xdr:nvSpPr>
      <xdr:spPr>
        <a:xfrm rot="10800000" flipH="1" flipV="1">
          <a:off x="605028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:a16="http://schemas.microsoft.com/office/drawing/2014/main" id="{CE65BF7E-5DEF-4456-ACC4-C28EC42BCE55}"/>
            </a:ext>
          </a:extLst>
        </xdr:cNvPr>
        <xdr:cNvSpPr/>
      </xdr:nvSpPr>
      <xdr:spPr>
        <a:xfrm rot="10800000" flipH="1" flipV="1">
          <a:off x="680847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:a16="http://schemas.microsoft.com/office/drawing/2014/main" id="{8B549D03-4431-4773-97FD-1918185FA415}"/>
            </a:ext>
          </a:extLst>
        </xdr:cNvPr>
        <xdr:cNvSpPr/>
      </xdr:nvSpPr>
      <xdr:spPr>
        <a:xfrm rot="10800000" flipH="1" flipV="1">
          <a:off x="605980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:a16="http://schemas.microsoft.com/office/drawing/2014/main" id="{F3568524-141E-4F51-9023-EEF7192B2647}"/>
            </a:ext>
          </a:extLst>
        </xdr:cNvPr>
        <xdr:cNvSpPr/>
      </xdr:nvSpPr>
      <xdr:spPr>
        <a:xfrm rot="10800000" flipH="1" flipV="1">
          <a:off x="681799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:a16="http://schemas.microsoft.com/office/drawing/2014/main" id="{8C597F52-A1B0-4603-ACE1-809C39514E64}"/>
            </a:ext>
          </a:extLst>
        </xdr:cNvPr>
        <xdr:cNvSpPr/>
      </xdr:nvSpPr>
      <xdr:spPr>
        <a:xfrm rot="10800000" flipH="1" flipV="1">
          <a:off x="604075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:a16="http://schemas.microsoft.com/office/drawing/2014/main" id="{4FE1668F-9FEA-406A-A838-3BD4A66A9D63}"/>
            </a:ext>
          </a:extLst>
        </xdr:cNvPr>
        <xdr:cNvSpPr/>
      </xdr:nvSpPr>
      <xdr:spPr>
        <a:xfrm rot="10800000" flipH="1" flipV="1">
          <a:off x="681799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7620</xdr:colOff>
      <xdr:row>16</xdr:row>
      <xdr:rowOff>0</xdr:rowOff>
    </xdr:from>
    <xdr:ext cx="1851660" cy="1379220"/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27860CB3-E036-4D5F-86DD-8ABF57940D03}"/>
            </a:ext>
          </a:extLst>
        </xdr:cNvPr>
        <xdr:cNvCxnSpPr/>
      </xdr:nvCxnSpPr>
      <xdr:spPr>
        <a:xfrm>
          <a:off x="7620" y="2720340"/>
          <a:ext cx="1851660" cy="137922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15240</xdr:colOff>
      <xdr:row>16</xdr:row>
      <xdr:rowOff>0</xdr:rowOff>
    </xdr:from>
    <xdr:ext cx="1844040" cy="1371600"/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3EF3DEED-FD80-46F9-9B10-0DCDBC0052A6}"/>
            </a:ext>
          </a:extLst>
        </xdr:cNvPr>
        <xdr:cNvCxnSpPr/>
      </xdr:nvCxnSpPr>
      <xdr:spPr>
        <a:xfrm flipH="1">
          <a:off x="15240" y="2720340"/>
          <a:ext cx="1844040" cy="137160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7620</xdr:colOff>
      <xdr:row>16</xdr:row>
      <xdr:rowOff>0</xdr:rowOff>
    </xdr:from>
    <xdr:ext cx="1722120" cy="1371600"/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890EA0AE-CC6E-4F85-913B-2BCDBC2020CB}"/>
            </a:ext>
          </a:extLst>
        </xdr:cNvPr>
        <xdr:cNvCxnSpPr/>
      </xdr:nvCxnSpPr>
      <xdr:spPr>
        <a:xfrm>
          <a:off x="11117580" y="2720340"/>
          <a:ext cx="1722120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22860</xdr:colOff>
      <xdr:row>16</xdr:row>
      <xdr:rowOff>0</xdr:rowOff>
    </xdr:from>
    <xdr:ext cx="1714500" cy="1371600"/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2B15244F-909F-4BE6-A2BA-D16032851FC8}"/>
            </a:ext>
          </a:extLst>
        </xdr:cNvPr>
        <xdr:cNvCxnSpPr/>
      </xdr:nvCxnSpPr>
      <xdr:spPr>
        <a:xfrm flipH="1">
          <a:off x="11132820" y="2720340"/>
          <a:ext cx="1714500" cy="137160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:a16="http://schemas.microsoft.com/office/drawing/2014/main" id="{CE9A6DB4-C7A6-4A6D-A9BF-BC3B56EA5611}"/>
            </a:ext>
          </a:extLst>
        </xdr:cNvPr>
        <xdr:cNvSpPr/>
      </xdr:nvSpPr>
      <xdr:spPr>
        <a:xfrm rot="10800000" flipH="1" flipV="1">
          <a:off x="6059805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:a16="http://schemas.microsoft.com/office/drawing/2014/main" id="{CF20FDCD-78CE-4B26-BAC9-29AEC07FD3D5}"/>
            </a:ext>
          </a:extLst>
        </xdr:cNvPr>
        <xdr:cNvSpPr/>
      </xdr:nvSpPr>
      <xdr:spPr>
        <a:xfrm rot="10800000" flipH="1" flipV="1">
          <a:off x="680847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:a16="http://schemas.microsoft.com/office/drawing/2014/main" id="{4F2225D5-B48F-4460-8C36-33CD550C830A}"/>
            </a:ext>
          </a:extLst>
        </xdr:cNvPr>
        <xdr:cNvSpPr/>
      </xdr:nvSpPr>
      <xdr:spPr>
        <a:xfrm rot="10800000" flipH="1" flipV="1">
          <a:off x="6040755" y="2225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:a16="http://schemas.microsoft.com/office/drawing/2014/main" id="{EDA55547-CCE8-4147-9726-D53884F070A0}"/>
            </a:ext>
          </a:extLst>
        </xdr:cNvPr>
        <xdr:cNvSpPr/>
      </xdr:nvSpPr>
      <xdr:spPr>
        <a:xfrm rot="10800000" flipH="1" flipV="1">
          <a:off x="680847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 lang="en-NG"/>
        </a:p>
      </xdr:txBody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:a16="http://schemas.microsoft.com/office/drawing/2014/main" id="{2D806372-6F80-4DF7-BC5C-C6746E6C7C95}"/>
            </a:ext>
          </a:extLst>
        </xdr:cNvPr>
        <xdr:cNvSpPr/>
      </xdr:nvSpPr>
      <xdr:spPr>
        <a:xfrm rot="10800000" flipH="1" flipV="1">
          <a:off x="680847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:a16="http://schemas.microsoft.com/office/drawing/2014/main" id="{102EEFC0-35FF-4EEA-B5B5-FC8046A8F90A}"/>
            </a:ext>
          </a:extLst>
        </xdr:cNvPr>
        <xdr:cNvSpPr/>
      </xdr:nvSpPr>
      <xdr:spPr>
        <a:xfrm rot="10800000" flipH="1" flipV="1">
          <a:off x="6050280" y="2682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EFAA95A-9764-4963-9C59-6D7C69CAFDD3}"/>
            </a:ext>
          </a:extLst>
        </xdr:cNvPr>
        <xdr:cNvCxnSpPr/>
      </xdr:nvCxnSpPr>
      <xdr:spPr>
        <a:xfrm>
          <a:off x="6250305" y="1501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A83B87-E9A8-4DDA-BF36-444D1C77D1C1}"/>
            </a:ext>
          </a:extLst>
        </xdr:cNvPr>
        <xdr:cNvCxnSpPr/>
      </xdr:nvCxnSpPr>
      <xdr:spPr>
        <a:xfrm>
          <a:off x="6259830" y="1653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A01C03A-C5B7-436B-AA8E-373BC6763C0F}"/>
            </a:ext>
          </a:extLst>
        </xdr:cNvPr>
        <xdr:cNvCxnSpPr/>
      </xdr:nvCxnSpPr>
      <xdr:spPr>
        <a:xfrm>
          <a:off x="6250305" y="1805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8212E4C-316C-42F0-AACA-02FAE1B8D5EB}"/>
            </a:ext>
          </a:extLst>
        </xdr:cNvPr>
        <xdr:cNvCxnSpPr/>
      </xdr:nvCxnSpPr>
      <xdr:spPr>
        <a:xfrm>
          <a:off x="6250305" y="1958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9E525CA-6AD7-4959-830C-55A1C153E244}"/>
            </a:ext>
          </a:extLst>
        </xdr:cNvPr>
        <xdr:cNvCxnSpPr/>
      </xdr:nvCxnSpPr>
      <xdr:spPr>
        <a:xfrm>
          <a:off x="6250305" y="2110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71E176B-EFAE-421F-B8EA-9EECBD20B884}"/>
            </a:ext>
          </a:extLst>
        </xdr:cNvPr>
        <xdr:cNvCxnSpPr/>
      </xdr:nvCxnSpPr>
      <xdr:spPr>
        <a:xfrm>
          <a:off x="6250305" y="2263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EB23518-8313-45CD-909E-37F0BC95C4F5}"/>
            </a:ext>
          </a:extLst>
        </xdr:cNvPr>
        <xdr:cNvCxnSpPr/>
      </xdr:nvCxnSpPr>
      <xdr:spPr>
        <a:xfrm>
          <a:off x="6250305" y="2415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A738438-B928-41A8-B56D-1A3897C5A551}"/>
            </a:ext>
          </a:extLst>
        </xdr:cNvPr>
        <xdr:cNvCxnSpPr/>
      </xdr:nvCxnSpPr>
      <xdr:spPr>
        <a:xfrm>
          <a:off x="6250305" y="2567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7667634-F6DB-4963-A8A2-28AD54FAD438}"/>
            </a:ext>
          </a:extLst>
        </xdr:cNvPr>
        <xdr:cNvCxnSpPr/>
      </xdr:nvCxnSpPr>
      <xdr:spPr>
        <a:xfrm>
          <a:off x="6250305" y="2720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A83E0D8-99C2-40EC-828C-067186FCFD9E}"/>
            </a:ext>
          </a:extLst>
        </xdr:cNvPr>
        <xdr:cNvCxnSpPr/>
      </xdr:nvCxnSpPr>
      <xdr:spPr>
        <a:xfrm>
          <a:off x="6250305" y="2872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9D9F120-EF8F-4337-B8A0-42B6AD7014A1}"/>
            </a:ext>
          </a:extLst>
        </xdr:cNvPr>
        <xdr:cNvCxnSpPr/>
      </xdr:nvCxnSpPr>
      <xdr:spPr>
        <a:xfrm>
          <a:off x="6250305" y="3025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737E2A8-C2D5-4361-9651-5EC959126709}"/>
            </a:ext>
          </a:extLst>
        </xdr:cNvPr>
        <xdr:cNvCxnSpPr/>
      </xdr:nvCxnSpPr>
      <xdr:spPr>
        <a:xfrm>
          <a:off x="6250305" y="3177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1C1C327-4980-46DE-BD76-89DAEEB4860E}"/>
            </a:ext>
          </a:extLst>
        </xdr:cNvPr>
        <xdr:cNvCxnSpPr/>
      </xdr:nvCxnSpPr>
      <xdr:spPr>
        <a:xfrm>
          <a:off x="6250305" y="3329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086072C-A5C6-49A2-A77C-0FF5416C2274}"/>
            </a:ext>
          </a:extLst>
        </xdr:cNvPr>
        <xdr:cNvCxnSpPr/>
      </xdr:nvCxnSpPr>
      <xdr:spPr>
        <a:xfrm>
          <a:off x="6250305" y="3482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79D5FF7-DD0B-4988-8ABF-4640B81DFDCF}"/>
            </a:ext>
          </a:extLst>
        </xdr:cNvPr>
        <xdr:cNvCxnSpPr/>
      </xdr:nvCxnSpPr>
      <xdr:spPr>
        <a:xfrm>
          <a:off x="6250305" y="3634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C356F10-D8FA-4177-805A-31AC38877B1B}"/>
            </a:ext>
          </a:extLst>
        </xdr:cNvPr>
        <xdr:cNvCxnSpPr/>
      </xdr:nvCxnSpPr>
      <xdr:spPr>
        <a:xfrm>
          <a:off x="6250305" y="3787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92D4069-6C7F-4364-BEED-595B7DB53602}"/>
            </a:ext>
          </a:extLst>
        </xdr:cNvPr>
        <xdr:cNvCxnSpPr/>
      </xdr:nvCxnSpPr>
      <xdr:spPr>
        <a:xfrm>
          <a:off x="6250305" y="3939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EEF3788-0C4C-478A-8DCE-8368D4C6810E}"/>
            </a:ext>
          </a:extLst>
        </xdr:cNvPr>
        <xdr:cNvCxnSpPr/>
      </xdr:nvCxnSpPr>
      <xdr:spPr>
        <a:xfrm>
          <a:off x="6250305" y="4091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3F53ACD-D8CD-443C-B15A-F555C4E64DC6}"/>
            </a:ext>
          </a:extLst>
        </xdr:cNvPr>
        <xdr:cNvCxnSpPr/>
      </xdr:nvCxnSpPr>
      <xdr:spPr>
        <a:xfrm>
          <a:off x="6358890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E1381EFB-1C7B-424F-B426-C7B94991CABC}"/>
            </a:ext>
          </a:extLst>
        </xdr:cNvPr>
        <xdr:cNvCxnSpPr/>
      </xdr:nvCxnSpPr>
      <xdr:spPr>
        <a:xfrm>
          <a:off x="6501765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99C91158-029A-4B17-92B3-9A360D1110BF}"/>
            </a:ext>
          </a:extLst>
        </xdr:cNvPr>
        <xdr:cNvCxnSpPr/>
      </xdr:nvCxnSpPr>
      <xdr:spPr>
        <a:xfrm>
          <a:off x="6692265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27D78B1-985D-495C-A867-D012F5EF59CE}"/>
            </a:ext>
          </a:extLst>
        </xdr:cNvPr>
        <xdr:cNvSpPr/>
      </xdr:nvSpPr>
      <xdr:spPr>
        <a:xfrm>
          <a:off x="6330315" y="1482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C6F9E47-8D14-43CF-876A-8B5449745F1A}"/>
            </a:ext>
          </a:extLst>
        </xdr:cNvPr>
        <xdr:cNvSpPr/>
      </xdr:nvSpPr>
      <xdr:spPr>
        <a:xfrm>
          <a:off x="6482715" y="1644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CC5D5EA-23B8-48EC-8156-1844BC67A2DA}"/>
            </a:ext>
          </a:extLst>
        </xdr:cNvPr>
        <xdr:cNvSpPr/>
      </xdr:nvSpPr>
      <xdr:spPr>
        <a:xfrm>
          <a:off x="6654165" y="1786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FDB3AA9-4B85-4EBB-8615-A13094004CD4}"/>
            </a:ext>
          </a:extLst>
        </xdr:cNvPr>
        <xdr:cNvSpPr/>
      </xdr:nvSpPr>
      <xdr:spPr>
        <a:xfrm>
          <a:off x="6339840" y="19392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B32894E-E740-4DA5-9AF9-7865110D8939}"/>
            </a:ext>
          </a:extLst>
        </xdr:cNvPr>
        <xdr:cNvSpPr/>
      </xdr:nvSpPr>
      <xdr:spPr>
        <a:xfrm>
          <a:off x="6482715" y="2091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4C26879-68EA-47BA-82BB-59F169EC758C}"/>
            </a:ext>
          </a:extLst>
        </xdr:cNvPr>
        <xdr:cNvSpPr/>
      </xdr:nvSpPr>
      <xdr:spPr>
        <a:xfrm>
          <a:off x="6654165" y="22536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D0DC5CA-B1F0-4661-A69F-D9D5395CCF99}"/>
            </a:ext>
          </a:extLst>
        </xdr:cNvPr>
        <xdr:cNvSpPr/>
      </xdr:nvSpPr>
      <xdr:spPr>
        <a:xfrm>
          <a:off x="6339840" y="2396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C90FA15-3EC4-4024-A190-092EF55076D7}"/>
            </a:ext>
          </a:extLst>
        </xdr:cNvPr>
        <xdr:cNvSpPr/>
      </xdr:nvSpPr>
      <xdr:spPr>
        <a:xfrm>
          <a:off x="6482715" y="2548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61A13567-9EEB-4441-8A2B-D86C8E2CC36A}"/>
            </a:ext>
          </a:extLst>
        </xdr:cNvPr>
        <xdr:cNvSpPr/>
      </xdr:nvSpPr>
      <xdr:spPr>
        <a:xfrm>
          <a:off x="6654165" y="2710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C2E1AA23-22E7-41AE-96E7-2FF664A146A1}"/>
            </a:ext>
          </a:extLst>
        </xdr:cNvPr>
        <xdr:cNvSpPr/>
      </xdr:nvSpPr>
      <xdr:spPr>
        <a:xfrm>
          <a:off x="6339840" y="2853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2C1008D-84A6-4EB4-A353-0F7A43014CFC}"/>
            </a:ext>
          </a:extLst>
        </xdr:cNvPr>
        <xdr:cNvSpPr/>
      </xdr:nvSpPr>
      <xdr:spPr>
        <a:xfrm>
          <a:off x="6482715" y="3006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73A7435-04EE-4BBA-A668-B9C59467B950}"/>
            </a:ext>
          </a:extLst>
        </xdr:cNvPr>
        <xdr:cNvSpPr/>
      </xdr:nvSpPr>
      <xdr:spPr>
        <a:xfrm>
          <a:off x="6654165" y="3158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B9598D29-644C-4D29-B5FF-AE6FA7894741}"/>
            </a:ext>
          </a:extLst>
        </xdr:cNvPr>
        <xdr:cNvSpPr/>
      </xdr:nvSpPr>
      <xdr:spPr>
        <a:xfrm>
          <a:off x="6349365" y="3310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F7AA0860-9804-4DDA-B568-BBA595CFECB1}"/>
            </a:ext>
          </a:extLst>
        </xdr:cNvPr>
        <xdr:cNvSpPr/>
      </xdr:nvSpPr>
      <xdr:spPr>
        <a:xfrm>
          <a:off x="6482715" y="3472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9A4C885B-CF9D-4448-AB13-9865C7102670}"/>
            </a:ext>
          </a:extLst>
        </xdr:cNvPr>
        <xdr:cNvSpPr/>
      </xdr:nvSpPr>
      <xdr:spPr>
        <a:xfrm>
          <a:off x="6663690" y="3615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535E7FB-B326-4C2D-9648-0DBF44A04D4E}"/>
            </a:ext>
          </a:extLst>
        </xdr:cNvPr>
        <xdr:cNvSpPr/>
      </xdr:nvSpPr>
      <xdr:spPr>
        <a:xfrm>
          <a:off x="6349365" y="3768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5005CFA-AB80-42BA-AF11-479DB5EF3F82}"/>
            </a:ext>
          </a:extLst>
        </xdr:cNvPr>
        <xdr:cNvSpPr/>
      </xdr:nvSpPr>
      <xdr:spPr>
        <a:xfrm>
          <a:off x="6492240" y="3930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EFC885E-6233-4B37-ADD8-D795BD839958}"/>
            </a:ext>
          </a:extLst>
        </xdr:cNvPr>
        <xdr:cNvSpPr/>
      </xdr:nvSpPr>
      <xdr:spPr>
        <a:xfrm>
          <a:off x="6663690" y="4072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F833E2A2-348D-4F88-870E-13A45AADB608}"/>
            </a:ext>
          </a:extLst>
        </xdr:cNvPr>
        <xdr:cNvCxnSpPr/>
      </xdr:nvCxnSpPr>
      <xdr:spPr>
        <a:xfrm flipH="1" flipV="1">
          <a:off x="63588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BECC9BA-5810-4173-9657-3E1D76ED0A42}"/>
            </a:ext>
          </a:extLst>
        </xdr:cNvPr>
        <xdr:cNvCxnSpPr/>
      </xdr:nvCxnSpPr>
      <xdr:spPr>
        <a:xfrm flipH="1" flipV="1">
          <a:off x="65112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FB544334-A539-489F-AB41-4AAC4BEF7124}"/>
            </a:ext>
          </a:extLst>
        </xdr:cNvPr>
        <xdr:cNvCxnSpPr/>
      </xdr:nvCxnSpPr>
      <xdr:spPr>
        <a:xfrm flipH="1" flipV="1">
          <a:off x="6682740" y="439674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91FD3D9-0F61-4AE2-B7B3-089B71832FC7}"/>
            </a:ext>
          </a:extLst>
        </xdr:cNvPr>
        <xdr:cNvCxnSpPr/>
      </xdr:nvCxnSpPr>
      <xdr:spPr>
        <a:xfrm>
          <a:off x="6263640" y="433006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:a16="http://schemas.microsoft.com/office/drawing/2014/main" id="{8E90526E-8D45-4970-8E33-B528E57E88B0}"/>
            </a:ext>
          </a:extLst>
        </xdr:cNvPr>
        <xdr:cNvSpPr/>
      </xdr:nvSpPr>
      <xdr:spPr>
        <a:xfrm rot="5400000">
          <a:off x="6325553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:a16="http://schemas.microsoft.com/office/drawing/2014/main" id="{E5BC3C31-FC26-4F87-B05C-067B7FDDC3D5}"/>
            </a:ext>
          </a:extLst>
        </xdr:cNvPr>
        <xdr:cNvSpPr/>
      </xdr:nvSpPr>
      <xdr:spPr>
        <a:xfrm rot="5400000">
          <a:off x="6477953" y="426815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:a16="http://schemas.microsoft.com/office/drawing/2014/main" id="{B9C7D8B1-3BCC-4A00-803F-F76E8BDA856F}"/>
            </a:ext>
          </a:extLst>
        </xdr:cNvPr>
        <xdr:cNvSpPr/>
      </xdr:nvSpPr>
      <xdr:spPr>
        <a:xfrm rot="5400000">
          <a:off x="6620828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:a16="http://schemas.microsoft.com/office/drawing/2014/main" id="{C045EC92-A57A-4DA5-9111-AB22DC782AAE}"/>
            </a:ext>
          </a:extLst>
        </xdr:cNvPr>
        <xdr:cNvSpPr/>
      </xdr:nvSpPr>
      <xdr:spPr>
        <a:xfrm rot="10800000" flipH="1" flipV="1">
          <a:off x="6069330" y="1463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:a16="http://schemas.microsoft.com/office/drawing/2014/main" id="{D7555228-AF09-4F86-B5D5-5006DF01E177}"/>
            </a:ext>
          </a:extLst>
        </xdr:cNvPr>
        <xdr:cNvSpPr/>
      </xdr:nvSpPr>
      <xdr:spPr>
        <a:xfrm rot="10800000" flipH="1" flipV="1">
          <a:off x="6059805" y="1624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:a16="http://schemas.microsoft.com/office/drawing/2014/main" id="{D072C446-F354-4D09-A478-41EDB07B24C5}"/>
            </a:ext>
          </a:extLst>
        </xdr:cNvPr>
        <xdr:cNvSpPr/>
      </xdr:nvSpPr>
      <xdr:spPr>
        <a:xfrm rot="10800000" flipH="1" flipV="1">
          <a:off x="6059805" y="1767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:a16="http://schemas.microsoft.com/office/drawing/2014/main" id="{770BAEF8-67C2-4486-B21F-7F29A7A8FA15}"/>
            </a:ext>
          </a:extLst>
        </xdr:cNvPr>
        <xdr:cNvSpPr/>
      </xdr:nvSpPr>
      <xdr:spPr>
        <a:xfrm rot="10800000" flipH="1" flipV="1">
          <a:off x="6050280" y="1920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:a16="http://schemas.microsoft.com/office/drawing/2014/main" id="{2259AAF6-017C-4E51-9763-A37772D0AE2B}"/>
            </a:ext>
          </a:extLst>
        </xdr:cNvPr>
        <xdr:cNvSpPr/>
      </xdr:nvSpPr>
      <xdr:spPr>
        <a:xfrm rot="10800000" flipH="1" flipV="1">
          <a:off x="6785610" y="1472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:a16="http://schemas.microsoft.com/office/drawing/2014/main" id="{D0566C92-3890-45E7-A754-4FB38C40F6E8}"/>
            </a:ext>
          </a:extLst>
        </xdr:cNvPr>
        <xdr:cNvSpPr/>
      </xdr:nvSpPr>
      <xdr:spPr>
        <a:xfrm rot="10800000" flipH="1" flipV="1">
          <a:off x="6795135" y="160591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:a16="http://schemas.microsoft.com/office/drawing/2014/main" id="{9561D5CD-770E-4A0C-95E2-0F79F926C6AF}"/>
            </a:ext>
          </a:extLst>
        </xdr:cNvPr>
        <xdr:cNvSpPr/>
      </xdr:nvSpPr>
      <xdr:spPr>
        <a:xfrm rot="10800000" flipH="1" flipV="1">
          <a:off x="678561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:a16="http://schemas.microsoft.com/office/drawing/2014/main" id="{4DF36064-03D3-409F-98D8-6FD8123CA75C}"/>
            </a:ext>
          </a:extLst>
        </xdr:cNvPr>
        <xdr:cNvSpPr/>
      </xdr:nvSpPr>
      <xdr:spPr>
        <a:xfrm rot="10800000" flipH="1" flipV="1">
          <a:off x="6040755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:a16="http://schemas.microsoft.com/office/drawing/2014/main" id="{D5FE5AEE-B001-4A38-BE7B-B49CD1E40CDD}"/>
            </a:ext>
          </a:extLst>
        </xdr:cNvPr>
        <xdr:cNvSpPr/>
      </xdr:nvSpPr>
      <xdr:spPr>
        <a:xfrm rot="10800000" flipH="1" flipV="1">
          <a:off x="6785610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:a16="http://schemas.microsoft.com/office/drawing/2014/main" id="{421CDEFE-BBB3-4317-A2F5-4E1F80C4320B}"/>
            </a:ext>
          </a:extLst>
        </xdr:cNvPr>
        <xdr:cNvSpPr/>
      </xdr:nvSpPr>
      <xdr:spPr>
        <a:xfrm rot="10800000" flipH="1" flipV="1">
          <a:off x="6776085" y="2234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:a16="http://schemas.microsoft.com/office/drawing/2014/main" id="{9F304CBA-FE41-4352-A52B-B1D6EDEF3351}"/>
            </a:ext>
          </a:extLst>
        </xdr:cNvPr>
        <xdr:cNvSpPr/>
      </xdr:nvSpPr>
      <xdr:spPr>
        <a:xfrm rot="10800000" flipH="1" flipV="1">
          <a:off x="6059805" y="2377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:a16="http://schemas.microsoft.com/office/drawing/2014/main" id="{921CD302-B779-46E4-963F-6D444CD5DE13}"/>
            </a:ext>
          </a:extLst>
        </xdr:cNvPr>
        <xdr:cNvSpPr/>
      </xdr:nvSpPr>
      <xdr:spPr>
        <a:xfrm rot="10800000" flipH="1" flipV="1">
          <a:off x="6776085" y="2386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:a16="http://schemas.microsoft.com/office/drawing/2014/main" id="{C21E7A4C-317E-4082-928A-C0F372B9D47D}"/>
            </a:ext>
          </a:extLst>
        </xdr:cNvPr>
        <xdr:cNvSpPr/>
      </xdr:nvSpPr>
      <xdr:spPr>
        <a:xfrm rot="10800000" flipH="1" flipV="1">
          <a:off x="6785610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:a16="http://schemas.microsoft.com/office/drawing/2014/main" id="{4C5824B7-04EE-4023-AE7F-2C4ABDCDC0E4}"/>
            </a:ext>
          </a:extLst>
        </xdr:cNvPr>
        <xdr:cNvSpPr/>
      </xdr:nvSpPr>
      <xdr:spPr>
        <a:xfrm rot="10800000" flipH="1" flipV="1">
          <a:off x="6776085" y="2691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:a16="http://schemas.microsoft.com/office/drawing/2014/main" id="{E5A1D4C4-1374-4DF0-8DBD-84D228626D5B}"/>
            </a:ext>
          </a:extLst>
        </xdr:cNvPr>
        <xdr:cNvSpPr/>
      </xdr:nvSpPr>
      <xdr:spPr>
        <a:xfrm rot="10800000" flipH="1" flipV="1">
          <a:off x="6069330" y="2834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:a16="http://schemas.microsoft.com/office/drawing/2014/main" id="{99BAD382-5407-40EB-950A-A4BE8B25B81E}"/>
            </a:ext>
          </a:extLst>
        </xdr:cNvPr>
        <xdr:cNvSpPr/>
      </xdr:nvSpPr>
      <xdr:spPr>
        <a:xfrm rot="10800000" flipH="1" flipV="1">
          <a:off x="6785610" y="2844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:a16="http://schemas.microsoft.com/office/drawing/2014/main" id="{05AF2605-EC76-4F49-9EDE-6E332F355559}"/>
            </a:ext>
          </a:extLst>
        </xdr:cNvPr>
        <xdr:cNvSpPr/>
      </xdr:nvSpPr>
      <xdr:spPr>
        <a:xfrm rot="10800000" flipH="1" flipV="1">
          <a:off x="6050280" y="298704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:a16="http://schemas.microsoft.com/office/drawing/2014/main" id="{2625C810-A376-42D7-8771-39C47D858F5E}"/>
            </a:ext>
          </a:extLst>
        </xdr:cNvPr>
        <xdr:cNvSpPr/>
      </xdr:nvSpPr>
      <xdr:spPr>
        <a:xfrm rot="10800000" flipH="1" flipV="1">
          <a:off x="6776085" y="299656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:a16="http://schemas.microsoft.com/office/drawing/2014/main" id="{0E3D420C-F187-4754-B87D-3AA567530C8F}"/>
            </a:ext>
          </a:extLst>
        </xdr:cNvPr>
        <xdr:cNvSpPr/>
      </xdr:nvSpPr>
      <xdr:spPr>
        <a:xfrm rot="10800000" flipH="1" flipV="1">
          <a:off x="6050280" y="3148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:a16="http://schemas.microsoft.com/office/drawing/2014/main" id="{52D95DC1-C223-4F67-8AE3-1D44AA24725F}"/>
            </a:ext>
          </a:extLst>
        </xdr:cNvPr>
        <xdr:cNvSpPr/>
      </xdr:nvSpPr>
      <xdr:spPr>
        <a:xfrm rot="10800000" flipH="1" flipV="1">
          <a:off x="6785610" y="3139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:a16="http://schemas.microsoft.com/office/drawing/2014/main" id="{62698AC1-C14A-46F8-ADAF-109BC2C9E2FF}"/>
            </a:ext>
          </a:extLst>
        </xdr:cNvPr>
        <xdr:cNvSpPr/>
      </xdr:nvSpPr>
      <xdr:spPr>
        <a:xfrm rot="10800000" flipH="1" flipV="1">
          <a:off x="605028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:a16="http://schemas.microsoft.com/office/drawing/2014/main" id="{399F290A-0244-4F6C-91CE-DE3CC50CC428}"/>
            </a:ext>
          </a:extLst>
        </xdr:cNvPr>
        <xdr:cNvSpPr/>
      </xdr:nvSpPr>
      <xdr:spPr>
        <a:xfrm rot="10800000" flipH="1" flipV="1">
          <a:off x="680466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:a16="http://schemas.microsoft.com/office/drawing/2014/main" id="{9C108261-F8C5-400F-8406-C6A23053B2E3}"/>
            </a:ext>
          </a:extLst>
        </xdr:cNvPr>
        <xdr:cNvSpPr/>
      </xdr:nvSpPr>
      <xdr:spPr>
        <a:xfrm rot="10800000" flipH="1" flipV="1">
          <a:off x="6059805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:a16="http://schemas.microsoft.com/office/drawing/2014/main" id="{DDDAC8B6-DCFB-424C-A4B7-0CD57B7E88C0}"/>
            </a:ext>
          </a:extLst>
        </xdr:cNvPr>
        <xdr:cNvSpPr/>
      </xdr:nvSpPr>
      <xdr:spPr>
        <a:xfrm rot="10800000" flipH="1" flipV="1">
          <a:off x="6785610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:a16="http://schemas.microsoft.com/office/drawing/2014/main" id="{715009DD-9C1A-41E8-B0A1-4097BE2FE270}"/>
            </a:ext>
          </a:extLst>
        </xdr:cNvPr>
        <xdr:cNvSpPr/>
      </xdr:nvSpPr>
      <xdr:spPr>
        <a:xfrm rot="10800000" flipH="1" flipV="1">
          <a:off x="6059805" y="3606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:a16="http://schemas.microsoft.com/office/drawing/2014/main" id="{0AF4AA32-C95A-456F-BF66-A0DA9F1E6331}"/>
            </a:ext>
          </a:extLst>
        </xdr:cNvPr>
        <xdr:cNvSpPr/>
      </xdr:nvSpPr>
      <xdr:spPr>
        <a:xfrm rot="10800000" flipH="1" flipV="1">
          <a:off x="6785610" y="3596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:a16="http://schemas.microsoft.com/office/drawing/2014/main" id="{EE5E625E-A87F-437D-9595-DDB5F020D03E}"/>
            </a:ext>
          </a:extLst>
        </xdr:cNvPr>
        <xdr:cNvSpPr/>
      </xdr:nvSpPr>
      <xdr:spPr>
        <a:xfrm rot="10800000" flipH="1" flipV="1">
          <a:off x="605028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:a16="http://schemas.microsoft.com/office/drawing/2014/main" id="{989C9921-589C-4B76-B28D-A3E6CC3C9456}"/>
            </a:ext>
          </a:extLst>
        </xdr:cNvPr>
        <xdr:cNvSpPr/>
      </xdr:nvSpPr>
      <xdr:spPr>
        <a:xfrm rot="10800000" flipH="1" flipV="1">
          <a:off x="678561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:a16="http://schemas.microsoft.com/office/drawing/2014/main" id="{712F07C7-B0D8-476E-9E6A-471D44A99F7C}"/>
            </a:ext>
          </a:extLst>
        </xdr:cNvPr>
        <xdr:cNvSpPr/>
      </xdr:nvSpPr>
      <xdr:spPr>
        <a:xfrm rot="10800000" flipH="1" flipV="1">
          <a:off x="605980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:a16="http://schemas.microsoft.com/office/drawing/2014/main" id="{35750751-C14B-4D79-9347-231E744FE295}"/>
            </a:ext>
          </a:extLst>
        </xdr:cNvPr>
        <xdr:cNvSpPr/>
      </xdr:nvSpPr>
      <xdr:spPr>
        <a:xfrm rot="10800000" flipH="1" flipV="1">
          <a:off x="679513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:a16="http://schemas.microsoft.com/office/drawing/2014/main" id="{110B8EF4-EF84-4979-A7AE-73868DFBEB13}"/>
            </a:ext>
          </a:extLst>
        </xdr:cNvPr>
        <xdr:cNvSpPr/>
      </xdr:nvSpPr>
      <xdr:spPr>
        <a:xfrm rot="10800000" flipH="1" flipV="1">
          <a:off x="604075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:a16="http://schemas.microsoft.com/office/drawing/2014/main" id="{0FF7795E-D5EE-4204-AD5B-1DDED04A03F3}"/>
            </a:ext>
          </a:extLst>
        </xdr:cNvPr>
        <xdr:cNvSpPr/>
      </xdr:nvSpPr>
      <xdr:spPr>
        <a:xfrm rot="10800000" flipH="1" flipV="1">
          <a:off x="679513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7620</xdr:colOff>
      <xdr:row>19</xdr:row>
      <xdr:rowOff>7620</xdr:rowOff>
    </xdr:from>
    <xdr:ext cx="1851660" cy="899160"/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83F7335C-1A7B-494B-A0FF-B27896028FBE}"/>
            </a:ext>
          </a:extLst>
        </xdr:cNvPr>
        <xdr:cNvCxnSpPr/>
      </xdr:nvCxnSpPr>
      <xdr:spPr>
        <a:xfrm>
          <a:off x="7620" y="3185160"/>
          <a:ext cx="1851660" cy="89916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0</xdr:colOff>
      <xdr:row>19</xdr:row>
      <xdr:rowOff>0</xdr:rowOff>
    </xdr:from>
    <xdr:ext cx="1859280" cy="914400"/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19BF1B38-BDD3-415A-940C-131B23AE5E61}"/>
            </a:ext>
          </a:extLst>
        </xdr:cNvPr>
        <xdr:cNvCxnSpPr/>
      </xdr:nvCxnSpPr>
      <xdr:spPr>
        <a:xfrm flipH="1">
          <a:off x="0" y="3177540"/>
          <a:ext cx="1859280" cy="91440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7620</xdr:colOff>
      <xdr:row>19</xdr:row>
      <xdr:rowOff>0</xdr:rowOff>
    </xdr:from>
    <xdr:ext cx="1722120" cy="914400"/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F64A2A85-1545-4C03-81E1-80F9D12FD6BC}"/>
            </a:ext>
          </a:extLst>
        </xdr:cNvPr>
        <xdr:cNvCxnSpPr/>
      </xdr:nvCxnSpPr>
      <xdr:spPr>
        <a:xfrm>
          <a:off x="11094720" y="3177540"/>
          <a:ext cx="1722120" cy="9144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7620</xdr:colOff>
      <xdr:row>19</xdr:row>
      <xdr:rowOff>15240</xdr:rowOff>
    </xdr:from>
    <xdr:ext cx="1729740" cy="899160"/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A2C1318E-CC13-4502-86C7-8902635707EC}"/>
            </a:ext>
          </a:extLst>
        </xdr:cNvPr>
        <xdr:cNvCxnSpPr/>
      </xdr:nvCxnSpPr>
      <xdr:spPr>
        <a:xfrm flipH="1">
          <a:off x="11094720" y="3192780"/>
          <a:ext cx="1729740" cy="89916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:a16="http://schemas.microsoft.com/office/drawing/2014/main" id="{98B1084E-93DF-4515-88A8-34E74F89070B}"/>
            </a:ext>
          </a:extLst>
        </xdr:cNvPr>
        <xdr:cNvSpPr/>
      </xdr:nvSpPr>
      <xdr:spPr>
        <a:xfrm rot="10800000" flipH="1" flipV="1">
          <a:off x="6059805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:a16="http://schemas.microsoft.com/office/drawing/2014/main" id="{BDB00DE9-38E3-4ECF-A66C-D3D2F5374CF1}"/>
            </a:ext>
          </a:extLst>
        </xdr:cNvPr>
        <xdr:cNvSpPr/>
      </xdr:nvSpPr>
      <xdr:spPr>
        <a:xfrm rot="10800000" flipH="1" flipV="1">
          <a:off x="678561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:a16="http://schemas.microsoft.com/office/drawing/2014/main" id="{104D9291-1834-4A2A-B596-1040BD6E1120}"/>
            </a:ext>
          </a:extLst>
        </xdr:cNvPr>
        <xdr:cNvSpPr/>
      </xdr:nvSpPr>
      <xdr:spPr>
        <a:xfrm rot="10800000" flipH="1" flipV="1">
          <a:off x="6040755" y="2225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:a16="http://schemas.microsoft.com/office/drawing/2014/main" id="{81C99240-9A10-4760-A972-E9BB7D865A27}"/>
            </a:ext>
          </a:extLst>
        </xdr:cNvPr>
        <xdr:cNvSpPr/>
      </xdr:nvSpPr>
      <xdr:spPr>
        <a:xfrm rot="10800000" flipH="1" flipV="1">
          <a:off x="678561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:a16="http://schemas.microsoft.com/office/drawing/2014/main" id="{02BABF67-F772-4C32-808B-D21AF5167DD3}"/>
            </a:ext>
          </a:extLst>
        </xdr:cNvPr>
        <xdr:cNvSpPr/>
      </xdr:nvSpPr>
      <xdr:spPr>
        <a:xfrm rot="10800000" flipH="1" flipV="1">
          <a:off x="678561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:a16="http://schemas.microsoft.com/office/drawing/2014/main" id="{2A6E4EB7-E549-43E9-A6F1-AAB8BAD7F9BC}"/>
            </a:ext>
          </a:extLst>
        </xdr:cNvPr>
        <xdr:cNvSpPr/>
      </xdr:nvSpPr>
      <xdr:spPr>
        <a:xfrm rot="10800000" flipH="1" flipV="1">
          <a:off x="6050280" y="2682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9229E89-507E-490E-929C-3BFA58D278E8}"/>
            </a:ext>
          </a:extLst>
        </xdr:cNvPr>
        <xdr:cNvCxnSpPr/>
      </xdr:nvCxnSpPr>
      <xdr:spPr>
        <a:xfrm>
          <a:off x="6250305" y="1501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D0E9E0-C3BB-4BC9-A7D1-675C2B2DA83E}"/>
            </a:ext>
          </a:extLst>
        </xdr:cNvPr>
        <xdr:cNvCxnSpPr/>
      </xdr:nvCxnSpPr>
      <xdr:spPr>
        <a:xfrm>
          <a:off x="6259830" y="1653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90DFA60-3D62-4093-92FD-27C6161EE794}"/>
            </a:ext>
          </a:extLst>
        </xdr:cNvPr>
        <xdr:cNvCxnSpPr/>
      </xdr:nvCxnSpPr>
      <xdr:spPr>
        <a:xfrm>
          <a:off x="6250305" y="1805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CFC6EA8-296E-48EA-9CF1-A5720727D3BC}"/>
            </a:ext>
          </a:extLst>
        </xdr:cNvPr>
        <xdr:cNvCxnSpPr/>
      </xdr:nvCxnSpPr>
      <xdr:spPr>
        <a:xfrm>
          <a:off x="6250305" y="1958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D578F5D-2D18-40FF-B2ED-614C40C4BDA9}"/>
            </a:ext>
          </a:extLst>
        </xdr:cNvPr>
        <xdr:cNvCxnSpPr/>
      </xdr:nvCxnSpPr>
      <xdr:spPr>
        <a:xfrm>
          <a:off x="6250305" y="2110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210F5C7-A340-4BE1-8847-B130E89ED8DA}"/>
            </a:ext>
          </a:extLst>
        </xdr:cNvPr>
        <xdr:cNvCxnSpPr/>
      </xdr:nvCxnSpPr>
      <xdr:spPr>
        <a:xfrm>
          <a:off x="6250305" y="2263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9D80C1D-E3E6-42CA-955F-6544889121EF}"/>
            </a:ext>
          </a:extLst>
        </xdr:cNvPr>
        <xdr:cNvCxnSpPr/>
      </xdr:nvCxnSpPr>
      <xdr:spPr>
        <a:xfrm>
          <a:off x="6250305" y="2415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A820B02-09FB-4C96-B110-F315F0F49981}"/>
            </a:ext>
          </a:extLst>
        </xdr:cNvPr>
        <xdr:cNvCxnSpPr/>
      </xdr:nvCxnSpPr>
      <xdr:spPr>
        <a:xfrm>
          <a:off x="6250305" y="2567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722C13B-D564-40E3-89B3-0FFB44DEF774}"/>
            </a:ext>
          </a:extLst>
        </xdr:cNvPr>
        <xdr:cNvCxnSpPr/>
      </xdr:nvCxnSpPr>
      <xdr:spPr>
        <a:xfrm>
          <a:off x="6250305" y="2720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C98FA30-8E58-4958-80DC-F1F8FAEDF9B4}"/>
            </a:ext>
          </a:extLst>
        </xdr:cNvPr>
        <xdr:cNvCxnSpPr/>
      </xdr:nvCxnSpPr>
      <xdr:spPr>
        <a:xfrm>
          <a:off x="6250305" y="2872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4F8C239-BC1A-406C-877A-B1B57AA58325}"/>
            </a:ext>
          </a:extLst>
        </xdr:cNvPr>
        <xdr:cNvCxnSpPr/>
      </xdr:nvCxnSpPr>
      <xdr:spPr>
        <a:xfrm>
          <a:off x="6250305" y="3025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A3F68D9-CA9E-4963-8D49-F596B0514D1B}"/>
            </a:ext>
          </a:extLst>
        </xdr:cNvPr>
        <xdr:cNvCxnSpPr/>
      </xdr:nvCxnSpPr>
      <xdr:spPr>
        <a:xfrm>
          <a:off x="6250305" y="3177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D81CF829-FC46-4854-AD57-DBC20819A76C}"/>
            </a:ext>
          </a:extLst>
        </xdr:cNvPr>
        <xdr:cNvCxnSpPr/>
      </xdr:nvCxnSpPr>
      <xdr:spPr>
        <a:xfrm>
          <a:off x="6250305" y="3329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94AEA56-49CC-4F4D-8623-8041798487BB}"/>
            </a:ext>
          </a:extLst>
        </xdr:cNvPr>
        <xdr:cNvCxnSpPr/>
      </xdr:nvCxnSpPr>
      <xdr:spPr>
        <a:xfrm>
          <a:off x="6250305" y="3482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9A4DB2F-6AC5-40A6-BD4C-AF9669D97DF2}"/>
            </a:ext>
          </a:extLst>
        </xdr:cNvPr>
        <xdr:cNvCxnSpPr/>
      </xdr:nvCxnSpPr>
      <xdr:spPr>
        <a:xfrm>
          <a:off x="6250305" y="3634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1C73366-EB02-4697-88B6-38DE7DD966BA}"/>
            </a:ext>
          </a:extLst>
        </xdr:cNvPr>
        <xdr:cNvCxnSpPr/>
      </xdr:nvCxnSpPr>
      <xdr:spPr>
        <a:xfrm>
          <a:off x="6250305" y="3787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4816695-DCC0-468E-9C2E-A304BA5369FC}"/>
            </a:ext>
          </a:extLst>
        </xdr:cNvPr>
        <xdr:cNvCxnSpPr/>
      </xdr:nvCxnSpPr>
      <xdr:spPr>
        <a:xfrm>
          <a:off x="6250305" y="3939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8438659-41AC-4B43-941B-402720633B17}"/>
            </a:ext>
          </a:extLst>
        </xdr:cNvPr>
        <xdr:cNvCxnSpPr/>
      </xdr:nvCxnSpPr>
      <xdr:spPr>
        <a:xfrm>
          <a:off x="6250305" y="4091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FA83963-2963-40BC-A6B1-3EC3CA0075F4}"/>
            </a:ext>
          </a:extLst>
        </xdr:cNvPr>
        <xdr:cNvCxnSpPr/>
      </xdr:nvCxnSpPr>
      <xdr:spPr>
        <a:xfrm>
          <a:off x="6358890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CAB34D0-4992-4576-B676-CF8527D25E90}"/>
            </a:ext>
          </a:extLst>
        </xdr:cNvPr>
        <xdr:cNvCxnSpPr/>
      </xdr:nvCxnSpPr>
      <xdr:spPr>
        <a:xfrm>
          <a:off x="6501765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50B1C25-64E7-4672-9C39-3982EC09BBBE}"/>
            </a:ext>
          </a:extLst>
        </xdr:cNvPr>
        <xdr:cNvCxnSpPr/>
      </xdr:nvCxnSpPr>
      <xdr:spPr>
        <a:xfrm>
          <a:off x="6692265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51EEF746-E0BF-4E77-AE8F-EBECB958899F}"/>
            </a:ext>
          </a:extLst>
        </xdr:cNvPr>
        <xdr:cNvSpPr/>
      </xdr:nvSpPr>
      <xdr:spPr>
        <a:xfrm>
          <a:off x="6330315" y="1482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66D7224-DADC-41F0-B7F8-0125F32B72E4}"/>
            </a:ext>
          </a:extLst>
        </xdr:cNvPr>
        <xdr:cNvSpPr/>
      </xdr:nvSpPr>
      <xdr:spPr>
        <a:xfrm>
          <a:off x="6482715" y="1644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2FC7173-F057-4D40-8984-3813C59EC9CD}"/>
            </a:ext>
          </a:extLst>
        </xdr:cNvPr>
        <xdr:cNvSpPr/>
      </xdr:nvSpPr>
      <xdr:spPr>
        <a:xfrm>
          <a:off x="6654165" y="1786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F796C23-E836-4F8F-A475-7D6CE22AEB9B}"/>
            </a:ext>
          </a:extLst>
        </xdr:cNvPr>
        <xdr:cNvSpPr/>
      </xdr:nvSpPr>
      <xdr:spPr>
        <a:xfrm>
          <a:off x="6339840" y="19392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41F9D50A-6C18-4173-8FBC-1E51D1789A6E}"/>
            </a:ext>
          </a:extLst>
        </xdr:cNvPr>
        <xdr:cNvSpPr/>
      </xdr:nvSpPr>
      <xdr:spPr>
        <a:xfrm>
          <a:off x="6482715" y="2091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21A50AF-560E-4FE4-BE2D-7CB92CD4329A}"/>
            </a:ext>
          </a:extLst>
        </xdr:cNvPr>
        <xdr:cNvSpPr/>
      </xdr:nvSpPr>
      <xdr:spPr>
        <a:xfrm>
          <a:off x="6654165" y="22536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67C8DAE-9661-4E9B-A8FA-3062E7257FB1}"/>
            </a:ext>
          </a:extLst>
        </xdr:cNvPr>
        <xdr:cNvSpPr/>
      </xdr:nvSpPr>
      <xdr:spPr>
        <a:xfrm>
          <a:off x="6339840" y="2396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2D369CB-F4FB-48F4-B3F5-59BF6C2902EE}"/>
            </a:ext>
          </a:extLst>
        </xdr:cNvPr>
        <xdr:cNvSpPr/>
      </xdr:nvSpPr>
      <xdr:spPr>
        <a:xfrm>
          <a:off x="6482715" y="2548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B23659C-2144-49DA-8873-709C8D327CB3}"/>
            </a:ext>
          </a:extLst>
        </xdr:cNvPr>
        <xdr:cNvSpPr/>
      </xdr:nvSpPr>
      <xdr:spPr>
        <a:xfrm>
          <a:off x="6654165" y="2710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17B431A-4566-444E-97BC-CA3668DFB877}"/>
            </a:ext>
          </a:extLst>
        </xdr:cNvPr>
        <xdr:cNvSpPr/>
      </xdr:nvSpPr>
      <xdr:spPr>
        <a:xfrm>
          <a:off x="6339840" y="2853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EA7A8EF-FFC4-44A4-A47D-2B64C9927CD4}"/>
            </a:ext>
          </a:extLst>
        </xdr:cNvPr>
        <xdr:cNvSpPr/>
      </xdr:nvSpPr>
      <xdr:spPr>
        <a:xfrm>
          <a:off x="6482715" y="3006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AB0D1A83-5046-4F96-A44D-C18E1183C5ED}"/>
            </a:ext>
          </a:extLst>
        </xdr:cNvPr>
        <xdr:cNvSpPr/>
      </xdr:nvSpPr>
      <xdr:spPr>
        <a:xfrm>
          <a:off x="6654165" y="3158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346CCB0-ED9E-48AD-A6C9-BEEBE4597094}"/>
            </a:ext>
          </a:extLst>
        </xdr:cNvPr>
        <xdr:cNvSpPr/>
      </xdr:nvSpPr>
      <xdr:spPr>
        <a:xfrm>
          <a:off x="6349365" y="3310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A89A2314-B35C-46CD-B959-10D07C51806E}"/>
            </a:ext>
          </a:extLst>
        </xdr:cNvPr>
        <xdr:cNvSpPr/>
      </xdr:nvSpPr>
      <xdr:spPr>
        <a:xfrm>
          <a:off x="6482715" y="3472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8D5F0AF-FF05-4B81-A6A2-6FD4AFB25248}"/>
            </a:ext>
          </a:extLst>
        </xdr:cNvPr>
        <xdr:cNvSpPr/>
      </xdr:nvSpPr>
      <xdr:spPr>
        <a:xfrm>
          <a:off x="6663690" y="3615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F348884-C974-4D97-9BC0-C232726A34D5}"/>
            </a:ext>
          </a:extLst>
        </xdr:cNvPr>
        <xdr:cNvSpPr/>
      </xdr:nvSpPr>
      <xdr:spPr>
        <a:xfrm>
          <a:off x="6349365" y="3768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ECCED0A-DF01-43D1-8836-7CB38B2042C2}"/>
            </a:ext>
          </a:extLst>
        </xdr:cNvPr>
        <xdr:cNvSpPr/>
      </xdr:nvSpPr>
      <xdr:spPr>
        <a:xfrm>
          <a:off x="6492240" y="3930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B8F2859-7E0C-4E9D-AC90-A0246C497136}"/>
            </a:ext>
          </a:extLst>
        </xdr:cNvPr>
        <xdr:cNvSpPr/>
      </xdr:nvSpPr>
      <xdr:spPr>
        <a:xfrm>
          <a:off x="6663690" y="4072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D878502-954D-475C-9CF2-04DB8BA78708}"/>
            </a:ext>
          </a:extLst>
        </xdr:cNvPr>
        <xdr:cNvCxnSpPr/>
      </xdr:nvCxnSpPr>
      <xdr:spPr>
        <a:xfrm flipH="1" flipV="1">
          <a:off x="63588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9C2238A-F38C-4E80-8217-0B15D11BFD08}"/>
            </a:ext>
          </a:extLst>
        </xdr:cNvPr>
        <xdr:cNvCxnSpPr/>
      </xdr:nvCxnSpPr>
      <xdr:spPr>
        <a:xfrm flipH="1" flipV="1">
          <a:off x="65112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F23DA613-3392-489F-A935-D8C1E4DA8E14}"/>
            </a:ext>
          </a:extLst>
        </xdr:cNvPr>
        <xdr:cNvCxnSpPr/>
      </xdr:nvCxnSpPr>
      <xdr:spPr>
        <a:xfrm flipH="1" flipV="1">
          <a:off x="6682740" y="439674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4BDDD1D6-26B6-4A12-ABD4-96096C720910}"/>
            </a:ext>
          </a:extLst>
        </xdr:cNvPr>
        <xdr:cNvCxnSpPr/>
      </xdr:nvCxnSpPr>
      <xdr:spPr>
        <a:xfrm>
          <a:off x="6263640" y="433006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:a16="http://schemas.microsoft.com/office/drawing/2014/main" id="{C4E96541-6C00-4CD2-84FB-2E89C64348D6}"/>
            </a:ext>
          </a:extLst>
        </xdr:cNvPr>
        <xdr:cNvSpPr/>
      </xdr:nvSpPr>
      <xdr:spPr>
        <a:xfrm rot="5400000">
          <a:off x="6325553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:a16="http://schemas.microsoft.com/office/drawing/2014/main" id="{95F45316-553E-441A-B586-B3841046743E}"/>
            </a:ext>
          </a:extLst>
        </xdr:cNvPr>
        <xdr:cNvSpPr/>
      </xdr:nvSpPr>
      <xdr:spPr>
        <a:xfrm rot="5400000">
          <a:off x="6477953" y="426815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:a16="http://schemas.microsoft.com/office/drawing/2014/main" id="{8CF94941-DB9A-4BEE-810F-3D5663F437C9}"/>
            </a:ext>
          </a:extLst>
        </xdr:cNvPr>
        <xdr:cNvSpPr/>
      </xdr:nvSpPr>
      <xdr:spPr>
        <a:xfrm rot="5400000">
          <a:off x="6620828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:a16="http://schemas.microsoft.com/office/drawing/2014/main" id="{33727B17-37D1-4960-8E40-AC2CB0189FB3}"/>
            </a:ext>
          </a:extLst>
        </xdr:cNvPr>
        <xdr:cNvSpPr/>
      </xdr:nvSpPr>
      <xdr:spPr>
        <a:xfrm rot="10800000" flipH="1" flipV="1">
          <a:off x="6069330" y="1463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:a16="http://schemas.microsoft.com/office/drawing/2014/main" id="{CC3B83F5-30FA-46A9-9D1A-4BDA19C015BD}"/>
            </a:ext>
          </a:extLst>
        </xdr:cNvPr>
        <xdr:cNvSpPr/>
      </xdr:nvSpPr>
      <xdr:spPr>
        <a:xfrm rot="10800000" flipH="1" flipV="1">
          <a:off x="6059805" y="1624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:a16="http://schemas.microsoft.com/office/drawing/2014/main" id="{0AC625AB-5BD3-4A07-8994-775531B68130}"/>
            </a:ext>
          </a:extLst>
        </xdr:cNvPr>
        <xdr:cNvSpPr/>
      </xdr:nvSpPr>
      <xdr:spPr>
        <a:xfrm rot="10800000" flipH="1" flipV="1">
          <a:off x="6059805" y="1767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:a16="http://schemas.microsoft.com/office/drawing/2014/main" id="{4366B308-F868-471C-B57D-1CF9F558CC1F}"/>
            </a:ext>
          </a:extLst>
        </xdr:cNvPr>
        <xdr:cNvSpPr/>
      </xdr:nvSpPr>
      <xdr:spPr>
        <a:xfrm rot="10800000" flipH="1" flipV="1">
          <a:off x="6050280" y="1920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:a16="http://schemas.microsoft.com/office/drawing/2014/main" id="{D50EB1C1-82F9-4146-B4E2-FC6C6BBD3CED}"/>
            </a:ext>
          </a:extLst>
        </xdr:cNvPr>
        <xdr:cNvSpPr/>
      </xdr:nvSpPr>
      <xdr:spPr>
        <a:xfrm rot="10800000" flipH="1" flipV="1">
          <a:off x="6808470" y="1472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:a16="http://schemas.microsoft.com/office/drawing/2014/main" id="{BD81B8E0-0085-4857-B1C0-80BC982AF08D}"/>
            </a:ext>
          </a:extLst>
        </xdr:cNvPr>
        <xdr:cNvSpPr/>
      </xdr:nvSpPr>
      <xdr:spPr>
        <a:xfrm rot="10800000" flipH="1" flipV="1">
          <a:off x="6817995" y="160591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:a16="http://schemas.microsoft.com/office/drawing/2014/main" id="{9D786AE1-849B-4B84-AD16-EE0C9B2EAE8F}"/>
            </a:ext>
          </a:extLst>
        </xdr:cNvPr>
        <xdr:cNvSpPr/>
      </xdr:nvSpPr>
      <xdr:spPr>
        <a:xfrm rot="10800000" flipH="1" flipV="1">
          <a:off x="680847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:a16="http://schemas.microsoft.com/office/drawing/2014/main" id="{7D2C02D3-E20C-4E97-927F-C855C5F6EC7A}"/>
            </a:ext>
          </a:extLst>
        </xdr:cNvPr>
        <xdr:cNvSpPr/>
      </xdr:nvSpPr>
      <xdr:spPr>
        <a:xfrm rot="10800000" flipH="1" flipV="1">
          <a:off x="6040755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:a16="http://schemas.microsoft.com/office/drawing/2014/main" id="{98B18D5E-E095-4222-A3BD-83760CBAAC1A}"/>
            </a:ext>
          </a:extLst>
        </xdr:cNvPr>
        <xdr:cNvSpPr/>
      </xdr:nvSpPr>
      <xdr:spPr>
        <a:xfrm rot="10800000" flipH="1" flipV="1">
          <a:off x="6808470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:a16="http://schemas.microsoft.com/office/drawing/2014/main" id="{F5FE442B-B742-407C-905A-9BD38C7203F9}"/>
            </a:ext>
          </a:extLst>
        </xdr:cNvPr>
        <xdr:cNvSpPr/>
      </xdr:nvSpPr>
      <xdr:spPr>
        <a:xfrm rot="10800000" flipH="1" flipV="1">
          <a:off x="6798945" y="2234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:a16="http://schemas.microsoft.com/office/drawing/2014/main" id="{D70733CE-8E0B-416B-A498-55A93FA5D0A1}"/>
            </a:ext>
          </a:extLst>
        </xdr:cNvPr>
        <xdr:cNvSpPr/>
      </xdr:nvSpPr>
      <xdr:spPr>
        <a:xfrm rot="10800000" flipH="1" flipV="1">
          <a:off x="6059805" y="2377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:a16="http://schemas.microsoft.com/office/drawing/2014/main" id="{6E326E0D-67E6-4E49-B3BE-D8E88AF8AFDF}"/>
            </a:ext>
          </a:extLst>
        </xdr:cNvPr>
        <xdr:cNvSpPr/>
      </xdr:nvSpPr>
      <xdr:spPr>
        <a:xfrm rot="10800000" flipH="1" flipV="1">
          <a:off x="6798945" y="2386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:a16="http://schemas.microsoft.com/office/drawing/2014/main" id="{22ED7882-98AE-43E4-9F21-4A647D83F3E8}"/>
            </a:ext>
          </a:extLst>
        </xdr:cNvPr>
        <xdr:cNvSpPr/>
      </xdr:nvSpPr>
      <xdr:spPr>
        <a:xfrm rot="10800000" flipH="1" flipV="1">
          <a:off x="6808470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:a16="http://schemas.microsoft.com/office/drawing/2014/main" id="{9A24C3E1-8F96-48CA-8043-17843E014E22}"/>
            </a:ext>
          </a:extLst>
        </xdr:cNvPr>
        <xdr:cNvSpPr/>
      </xdr:nvSpPr>
      <xdr:spPr>
        <a:xfrm rot="10800000" flipH="1" flipV="1">
          <a:off x="6798945" y="2691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:a16="http://schemas.microsoft.com/office/drawing/2014/main" id="{B93D3113-9B41-4660-8C02-B50C8C8A7DAB}"/>
            </a:ext>
          </a:extLst>
        </xdr:cNvPr>
        <xdr:cNvSpPr/>
      </xdr:nvSpPr>
      <xdr:spPr>
        <a:xfrm rot="10800000" flipH="1" flipV="1">
          <a:off x="6069330" y="2834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:a16="http://schemas.microsoft.com/office/drawing/2014/main" id="{D5C5039A-754E-42E3-A076-3CEFDF3B9839}"/>
            </a:ext>
          </a:extLst>
        </xdr:cNvPr>
        <xdr:cNvSpPr/>
      </xdr:nvSpPr>
      <xdr:spPr>
        <a:xfrm rot="10800000" flipH="1" flipV="1">
          <a:off x="6808470" y="2844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:a16="http://schemas.microsoft.com/office/drawing/2014/main" id="{2018EC81-61A2-4612-BFBD-3F361AF8AD74}"/>
            </a:ext>
          </a:extLst>
        </xdr:cNvPr>
        <xdr:cNvSpPr/>
      </xdr:nvSpPr>
      <xdr:spPr>
        <a:xfrm rot="10800000" flipH="1" flipV="1">
          <a:off x="6050280" y="298704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:a16="http://schemas.microsoft.com/office/drawing/2014/main" id="{0D382527-50C4-4665-9733-520AAEFD9FF8}"/>
            </a:ext>
          </a:extLst>
        </xdr:cNvPr>
        <xdr:cNvSpPr/>
      </xdr:nvSpPr>
      <xdr:spPr>
        <a:xfrm rot="10800000" flipH="1" flipV="1">
          <a:off x="6798945" y="299656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:a16="http://schemas.microsoft.com/office/drawing/2014/main" id="{DFE89BDF-0C4D-4961-9EBD-1CE2BE02B404}"/>
            </a:ext>
          </a:extLst>
        </xdr:cNvPr>
        <xdr:cNvSpPr/>
      </xdr:nvSpPr>
      <xdr:spPr>
        <a:xfrm rot="10800000" flipH="1" flipV="1">
          <a:off x="6050280" y="3148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:a16="http://schemas.microsoft.com/office/drawing/2014/main" id="{7432E0BC-6484-4DE5-A67D-894A05736615}"/>
            </a:ext>
          </a:extLst>
        </xdr:cNvPr>
        <xdr:cNvSpPr/>
      </xdr:nvSpPr>
      <xdr:spPr>
        <a:xfrm rot="10800000" flipH="1" flipV="1">
          <a:off x="6808470" y="3139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:a16="http://schemas.microsoft.com/office/drawing/2014/main" id="{37DB816D-D6AA-43C2-96EF-99B23205203D}"/>
            </a:ext>
          </a:extLst>
        </xdr:cNvPr>
        <xdr:cNvSpPr/>
      </xdr:nvSpPr>
      <xdr:spPr>
        <a:xfrm rot="10800000" flipH="1" flipV="1">
          <a:off x="605028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:a16="http://schemas.microsoft.com/office/drawing/2014/main" id="{0C49934F-9362-4C18-AF5F-59D8611251B7}"/>
            </a:ext>
          </a:extLst>
        </xdr:cNvPr>
        <xdr:cNvSpPr/>
      </xdr:nvSpPr>
      <xdr:spPr>
        <a:xfrm rot="10800000" flipH="1" flipV="1">
          <a:off x="682752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:a16="http://schemas.microsoft.com/office/drawing/2014/main" id="{68D07A3D-288C-4B9B-B4FE-37CA40CE9AFC}"/>
            </a:ext>
          </a:extLst>
        </xdr:cNvPr>
        <xdr:cNvSpPr/>
      </xdr:nvSpPr>
      <xdr:spPr>
        <a:xfrm rot="10800000" flipH="1" flipV="1">
          <a:off x="6059805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:a16="http://schemas.microsoft.com/office/drawing/2014/main" id="{D583DE4A-5DC6-46E7-A51A-B691498A1D5B}"/>
            </a:ext>
          </a:extLst>
        </xdr:cNvPr>
        <xdr:cNvSpPr/>
      </xdr:nvSpPr>
      <xdr:spPr>
        <a:xfrm rot="10800000" flipH="1" flipV="1">
          <a:off x="6808470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:a16="http://schemas.microsoft.com/office/drawing/2014/main" id="{16E08C66-5B26-45DC-8BE6-2B81EC3C2355}"/>
            </a:ext>
          </a:extLst>
        </xdr:cNvPr>
        <xdr:cNvSpPr/>
      </xdr:nvSpPr>
      <xdr:spPr>
        <a:xfrm rot="10800000" flipH="1" flipV="1">
          <a:off x="6059805" y="3606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:a16="http://schemas.microsoft.com/office/drawing/2014/main" id="{04818DC0-E5C3-4755-9924-093E5975B9D9}"/>
            </a:ext>
          </a:extLst>
        </xdr:cNvPr>
        <xdr:cNvSpPr/>
      </xdr:nvSpPr>
      <xdr:spPr>
        <a:xfrm rot="10800000" flipH="1" flipV="1">
          <a:off x="6808470" y="3596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:a16="http://schemas.microsoft.com/office/drawing/2014/main" id="{EB69C7E1-62C6-484F-B468-31693B581280}"/>
            </a:ext>
          </a:extLst>
        </xdr:cNvPr>
        <xdr:cNvSpPr/>
      </xdr:nvSpPr>
      <xdr:spPr>
        <a:xfrm rot="10800000" flipH="1" flipV="1">
          <a:off x="605028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:a16="http://schemas.microsoft.com/office/drawing/2014/main" id="{F57FC8BC-C937-4A69-BDA5-CC27D3D37158}"/>
            </a:ext>
          </a:extLst>
        </xdr:cNvPr>
        <xdr:cNvSpPr/>
      </xdr:nvSpPr>
      <xdr:spPr>
        <a:xfrm rot="10800000" flipH="1" flipV="1">
          <a:off x="680847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:a16="http://schemas.microsoft.com/office/drawing/2014/main" id="{C57591A6-A542-4EAE-AAFE-2D7F7705B6C9}"/>
            </a:ext>
          </a:extLst>
        </xdr:cNvPr>
        <xdr:cNvSpPr/>
      </xdr:nvSpPr>
      <xdr:spPr>
        <a:xfrm rot="10800000" flipH="1" flipV="1">
          <a:off x="605980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:a16="http://schemas.microsoft.com/office/drawing/2014/main" id="{B8DD7A58-8FB3-4654-9183-53CD2980A8F8}"/>
            </a:ext>
          </a:extLst>
        </xdr:cNvPr>
        <xdr:cNvSpPr/>
      </xdr:nvSpPr>
      <xdr:spPr>
        <a:xfrm rot="10800000" flipH="1" flipV="1">
          <a:off x="681799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:a16="http://schemas.microsoft.com/office/drawing/2014/main" id="{00D78939-E30B-4AAE-BAF9-BCE4A7CFB4B8}"/>
            </a:ext>
          </a:extLst>
        </xdr:cNvPr>
        <xdr:cNvSpPr/>
      </xdr:nvSpPr>
      <xdr:spPr>
        <a:xfrm rot="10800000" flipH="1" flipV="1">
          <a:off x="604075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:a16="http://schemas.microsoft.com/office/drawing/2014/main" id="{D3828299-3663-47E5-8FCE-0B79C67A9E0E}"/>
            </a:ext>
          </a:extLst>
        </xdr:cNvPr>
        <xdr:cNvSpPr/>
      </xdr:nvSpPr>
      <xdr:spPr>
        <a:xfrm rot="10800000" flipH="1" flipV="1">
          <a:off x="681799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0</xdr:colOff>
      <xdr:row>16</xdr:row>
      <xdr:rowOff>0</xdr:rowOff>
    </xdr:from>
    <xdr:ext cx="1859280" cy="1379220"/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3999F005-C021-40CD-B74A-E38FB48D5174}"/>
            </a:ext>
          </a:extLst>
        </xdr:cNvPr>
        <xdr:cNvCxnSpPr/>
      </xdr:nvCxnSpPr>
      <xdr:spPr>
        <a:xfrm>
          <a:off x="0" y="2720340"/>
          <a:ext cx="1859280" cy="137922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15240</xdr:colOff>
      <xdr:row>16</xdr:row>
      <xdr:rowOff>7620</xdr:rowOff>
    </xdr:from>
    <xdr:ext cx="1844040" cy="1363980"/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3B1F7C8C-9D8C-4D10-8413-012B044E0C3D}"/>
            </a:ext>
          </a:extLst>
        </xdr:cNvPr>
        <xdr:cNvCxnSpPr/>
      </xdr:nvCxnSpPr>
      <xdr:spPr>
        <a:xfrm flipH="1">
          <a:off x="15240" y="2727960"/>
          <a:ext cx="1844040" cy="136398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15240</xdr:colOff>
      <xdr:row>16</xdr:row>
      <xdr:rowOff>0</xdr:rowOff>
    </xdr:from>
    <xdr:ext cx="1714500" cy="1371600"/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ADC76835-0A10-476D-99DC-199A0C226893}"/>
            </a:ext>
          </a:extLst>
        </xdr:cNvPr>
        <xdr:cNvCxnSpPr/>
      </xdr:nvCxnSpPr>
      <xdr:spPr>
        <a:xfrm>
          <a:off x="11125200" y="2720340"/>
          <a:ext cx="1714500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22860</xdr:colOff>
      <xdr:row>16</xdr:row>
      <xdr:rowOff>7620</xdr:rowOff>
    </xdr:from>
    <xdr:ext cx="1714500" cy="1363980"/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2B254F80-274C-421E-935F-859B7006FC5A}"/>
            </a:ext>
          </a:extLst>
        </xdr:cNvPr>
        <xdr:cNvCxnSpPr/>
      </xdr:nvCxnSpPr>
      <xdr:spPr>
        <a:xfrm flipH="1">
          <a:off x="11132820" y="2727960"/>
          <a:ext cx="1714500" cy="136398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:a16="http://schemas.microsoft.com/office/drawing/2014/main" id="{E6A3EA3C-9363-484B-8FB3-4F65D567D236}"/>
            </a:ext>
          </a:extLst>
        </xdr:cNvPr>
        <xdr:cNvSpPr/>
      </xdr:nvSpPr>
      <xdr:spPr>
        <a:xfrm rot="10800000" flipH="1" flipV="1">
          <a:off x="6059805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:a16="http://schemas.microsoft.com/office/drawing/2014/main" id="{EE4CD142-9F3C-4D95-A4D4-A1561FAD4A9E}"/>
            </a:ext>
          </a:extLst>
        </xdr:cNvPr>
        <xdr:cNvSpPr/>
      </xdr:nvSpPr>
      <xdr:spPr>
        <a:xfrm rot="10800000" flipH="1" flipV="1">
          <a:off x="680847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:a16="http://schemas.microsoft.com/office/drawing/2014/main" id="{AC099467-15E0-44F8-BFE6-636C5E008F53}"/>
            </a:ext>
          </a:extLst>
        </xdr:cNvPr>
        <xdr:cNvSpPr/>
      </xdr:nvSpPr>
      <xdr:spPr>
        <a:xfrm rot="10800000" flipH="1" flipV="1">
          <a:off x="6040755" y="2225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:a16="http://schemas.microsoft.com/office/drawing/2014/main" id="{1E301A24-A375-4691-A596-0F204E825176}"/>
            </a:ext>
          </a:extLst>
        </xdr:cNvPr>
        <xdr:cNvSpPr/>
      </xdr:nvSpPr>
      <xdr:spPr>
        <a:xfrm rot="10800000" flipH="1" flipV="1">
          <a:off x="680847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 lang="en-NG"/>
        </a:p>
      </xdr:txBody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:a16="http://schemas.microsoft.com/office/drawing/2014/main" id="{8548D708-BE82-47F3-A9C4-87D1D86D1466}"/>
            </a:ext>
          </a:extLst>
        </xdr:cNvPr>
        <xdr:cNvSpPr/>
      </xdr:nvSpPr>
      <xdr:spPr>
        <a:xfrm rot="10800000" flipH="1" flipV="1">
          <a:off x="680847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:a16="http://schemas.microsoft.com/office/drawing/2014/main" id="{7F87A91A-A2C2-4949-A5CA-AC3CB46ED66C}"/>
            </a:ext>
          </a:extLst>
        </xdr:cNvPr>
        <xdr:cNvSpPr/>
      </xdr:nvSpPr>
      <xdr:spPr>
        <a:xfrm rot="10800000" flipH="1" flipV="1">
          <a:off x="6050280" y="2682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8DF966F-14DE-4B28-8F8D-9EC53BB3870F}"/>
            </a:ext>
          </a:extLst>
        </xdr:cNvPr>
        <xdr:cNvCxnSpPr/>
      </xdr:nvCxnSpPr>
      <xdr:spPr>
        <a:xfrm>
          <a:off x="6250305" y="1501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1A82CEC-0D20-4612-8585-8A4D8D6FEC6D}"/>
            </a:ext>
          </a:extLst>
        </xdr:cNvPr>
        <xdr:cNvCxnSpPr/>
      </xdr:nvCxnSpPr>
      <xdr:spPr>
        <a:xfrm>
          <a:off x="6259830" y="1653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740DB9B-016D-4713-813F-5400A0464D0A}"/>
            </a:ext>
          </a:extLst>
        </xdr:cNvPr>
        <xdr:cNvCxnSpPr/>
      </xdr:nvCxnSpPr>
      <xdr:spPr>
        <a:xfrm>
          <a:off x="6250305" y="1805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9D9F378-BE0E-4D4E-8588-FFE98B020041}"/>
            </a:ext>
          </a:extLst>
        </xdr:cNvPr>
        <xdr:cNvCxnSpPr/>
      </xdr:nvCxnSpPr>
      <xdr:spPr>
        <a:xfrm>
          <a:off x="6250305" y="1958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9CC877C-B38E-4732-B1EF-35483E6A4AD5}"/>
            </a:ext>
          </a:extLst>
        </xdr:cNvPr>
        <xdr:cNvCxnSpPr/>
      </xdr:nvCxnSpPr>
      <xdr:spPr>
        <a:xfrm>
          <a:off x="6250305" y="2110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1E8B49A-0427-4206-AEC2-7667524207BD}"/>
            </a:ext>
          </a:extLst>
        </xdr:cNvPr>
        <xdr:cNvCxnSpPr/>
      </xdr:nvCxnSpPr>
      <xdr:spPr>
        <a:xfrm>
          <a:off x="6250305" y="2263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FF7B693-799D-49A6-8DAE-3F6C85D0323C}"/>
            </a:ext>
          </a:extLst>
        </xdr:cNvPr>
        <xdr:cNvCxnSpPr/>
      </xdr:nvCxnSpPr>
      <xdr:spPr>
        <a:xfrm>
          <a:off x="6250305" y="2415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6D5967C-5071-4FE9-B64E-54332AE3C246}"/>
            </a:ext>
          </a:extLst>
        </xdr:cNvPr>
        <xdr:cNvCxnSpPr/>
      </xdr:nvCxnSpPr>
      <xdr:spPr>
        <a:xfrm>
          <a:off x="6250305" y="2567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8DFF78C-3BE1-44B8-ABBF-990A00DF310E}"/>
            </a:ext>
          </a:extLst>
        </xdr:cNvPr>
        <xdr:cNvCxnSpPr/>
      </xdr:nvCxnSpPr>
      <xdr:spPr>
        <a:xfrm>
          <a:off x="6250305" y="2720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9D38E20-9E28-404D-A2D6-BD28539CA097}"/>
            </a:ext>
          </a:extLst>
        </xdr:cNvPr>
        <xdr:cNvCxnSpPr/>
      </xdr:nvCxnSpPr>
      <xdr:spPr>
        <a:xfrm>
          <a:off x="6250305" y="2872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B8AE42E-8F14-4A56-AA20-04B3FE902DC7}"/>
            </a:ext>
          </a:extLst>
        </xdr:cNvPr>
        <xdr:cNvCxnSpPr/>
      </xdr:nvCxnSpPr>
      <xdr:spPr>
        <a:xfrm>
          <a:off x="6250305" y="3025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67CFDF7-600D-4209-AD56-FA7E4E825DAE}"/>
            </a:ext>
          </a:extLst>
        </xdr:cNvPr>
        <xdr:cNvCxnSpPr/>
      </xdr:nvCxnSpPr>
      <xdr:spPr>
        <a:xfrm>
          <a:off x="6250305" y="3177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2BF06A2-89B5-4530-B5E6-21DB203AC6A0}"/>
            </a:ext>
          </a:extLst>
        </xdr:cNvPr>
        <xdr:cNvCxnSpPr/>
      </xdr:nvCxnSpPr>
      <xdr:spPr>
        <a:xfrm>
          <a:off x="6250305" y="3329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CE04EFF-1E13-4154-BD10-067A2BCB8CDA}"/>
            </a:ext>
          </a:extLst>
        </xdr:cNvPr>
        <xdr:cNvCxnSpPr/>
      </xdr:nvCxnSpPr>
      <xdr:spPr>
        <a:xfrm>
          <a:off x="6250305" y="3482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16CC009-2A35-4906-B842-30F7213886FB}"/>
            </a:ext>
          </a:extLst>
        </xdr:cNvPr>
        <xdr:cNvCxnSpPr/>
      </xdr:nvCxnSpPr>
      <xdr:spPr>
        <a:xfrm>
          <a:off x="6250305" y="3634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E241631-D6FB-47A9-87A6-85BFB3192C9A}"/>
            </a:ext>
          </a:extLst>
        </xdr:cNvPr>
        <xdr:cNvCxnSpPr/>
      </xdr:nvCxnSpPr>
      <xdr:spPr>
        <a:xfrm>
          <a:off x="6250305" y="3787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C586152-0DCD-46FA-AF86-A02A2520EB5D}"/>
            </a:ext>
          </a:extLst>
        </xdr:cNvPr>
        <xdr:cNvCxnSpPr/>
      </xdr:nvCxnSpPr>
      <xdr:spPr>
        <a:xfrm>
          <a:off x="6250305" y="3939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761E37C-D3CE-476F-A5A8-738EBCC25B20}"/>
            </a:ext>
          </a:extLst>
        </xdr:cNvPr>
        <xdr:cNvCxnSpPr/>
      </xdr:nvCxnSpPr>
      <xdr:spPr>
        <a:xfrm>
          <a:off x="6250305" y="4091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88C6F960-B8E9-4987-B767-7936CAA1A88F}"/>
            </a:ext>
          </a:extLst>
        </xdr:cNvPr>
        <xdr:cNvCxnSpPr/>
      </xdr:nvCxnSpPr>
      <xdr:spPr>
        <a:xfrm>
          <a:off x="6358890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FA16507-92DB-493A-9002-083599F02BD3}"/>
            </a:ext>
          </a:extLst>
        </xdr:cNvPr>
        <xdr:cNvCxnSpPr/>
      </xdr:nvCxnSpPr>
      <xdr:spPr>
        <a:xfrm>
          <a:off x="6501765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155E1D6-4769-4330-AFC4-4E082A4173A0}"/>
            </a:ext>
          </a:extLst>
        </xdr:cNvPr>
        <xdr:cNvCxnSpPr/>
      </xdr:nvCxnSpPr>
      <xdr:spPr>
        <a:xfrm>
          <a:off x="6692265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A3E21A9-59D2-4D2B-8A03-7C363C327805}"/>
            </a:ext>
          </a:extLst>
        </xdr:cNvPr>
        <xdr:cNvSpPr/>
      </xdr:nvSpPr>
      <xdr:spPr>
        <a:xfrm>
          <a:off x="6330315" y="1482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DBD4374-3DCA-4570-A65F-52F80CC232A3}"/>
            </a:ext>
          </a:extLst>
        </xdr:cNvPr>
        <xdr:cNvSpPr/>
      </xdr:nvSpPr>
      <xdr:spPr>
        <a:xfrm>
          <a:off x="6482715" y="1644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A53070E-EB9A-46D3-8B15-8570F46EFF3F}"/>
            </a:ext>
          </a:extLst>
        </xdr:cNvPr>
        <xdr:cNvSpPr/>
      </xdr:nvSpPr>
      <xdr:spPr>
        <a:xfrm>
          <a:off x="6654165" y="1786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255CEE-0F7A-4500-A197-97AE9537C20E}"/>
            </a:ext>
          </a:extLst>
        </xdr:cNvPr>
        <xdr:cNvSpPr/>
      </xdr:nvSpPr>
      <xdr:spPr>
        <a:xfrm>
          <a:off x="6339840" y="19392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B3240CCF-B79A-45D2-B736-E59F28684AC1}"/>
            </a:ext>
          </a:extLst>
        </xdr:cNvPr>
        <xdr:cNvSpPr/>
      </xdr:nvSpPr>
      <xdr:spPr>
        <a:xfrm>
          <a:off x="6482715" y="2091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44BC3CF-9A8E-4F78-B045-1EE8EB39A10B}"/>
            </a:ext>
          </a:extLst>
        </xdr:cNvPr>
        <xdr:cNvSpPr/>
      </xdr:nvSpPr>
      <xdr:spPr>
        <a:xfrm>
          <a:off x="6654165" y="22536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A14B2C6-88B0-4859-8E11-1165FD1C99E7}"/>
            </a:ext>
          </a:extLst>
        </xdr:cNvPr>
        <xdr:cNvSpPr/>
      </xdr:nvSpPr>
      <xdr:spPr>
        <a:xfrm>
          <a:off x="6339840" y="2396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A7AD5CC-B3F9-4256-B5B7-51B743E7215F}"/>
            </a:ext>
          </a:extLst>
        </xdr:cNvPr>
        <xdr:cNvSpPr/>
      </xdr:nvSpPr>
      <xdr:spPr>
        <a:xfrm>
          <a:off x="6482715" y="2548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6A94C64-042A-4D88-9FB8-A6B45678C41D}"/>
            </a:ext>
          </a:extLst>
        </xdr:cNvPr>
        <xdr:cNvSpPr/>
      </xdr:nvSpPr>
      <xdr:spPr>
        <a:xfrm>
          <a:off x="6654165" y="2710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818B3E4-CDF2-4047-9264-FBC2D8641E86}"/>
            </a:ext>
          </a:extLst>
        </xdr:cNvPr>
        <xdr:cNvSpPr/>
      </xdr:nvSpPr>
      <xdr:spPr>
        <a:xfrm>
          <a:off x="6339840" y="2853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62598384-FA64-4E49-8C77-9665CF68D5A0}"/>
            </a:ext>
          </a:extLst>
        </xdr:cNvPr>
        <xdr:cNvSpPr/>
      </xdr:nvSpPr>
      <xdr:spPr>
        <a:xfrm>
          <a:off x="6482715" y="3006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CEC2CCA-B54D-4AC3-B1C5-662EAF1DC33E}"/>
            </a:ext>
          </a:extLst>
        </xdr:cNvPr>
        <xdr:cNvSpPr/>
      </xdr:nvSpPr>
      <xdr:spPr>
        <a:xfrm>
          <a:off x="6654165" y="3158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C5C5B13-B989-45A9-B9C4-1423E1A4DB6D}"/>
            </a:ext>
          </a:extLst>
        </xdr:cNvPr>
        <xdr:cNvSpPr/>
      </xdr:nvSpPr>
      <xdr:spPr>
        <a:xfrm>
          <a:off x="6349365" y="3310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F4CA82A0-9897-4C35-842C-79775484D4AB}"/>
            </a:ext>
          </a:extLst>
        </xdr:cNvPr>
        <xdr:cNvSpPr/>
      </xdr:nvSpPr>
      <xdr:spPr>
        <a:xfrm>
          <a:off x="6482715" y="3472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47907BB1-1F4E-403F-AACC-07F9C8902C82}"/>
            </a:ext>
          </a:extLst>
        </xdr:cNvPr>
        <xdr:cNvSpPr/>
      </xdr:nvSpPr>
      <xdr:spPr>
        <a:xfrm>
          <a:off x="6663690" y="3615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EDF0855-DB80-439D-9960-AAB0F7A9608D}"/>
            </a:ext>
          </a:extLst>
        </xdr:cNvPr>
        <xdr:cNvSpPr/>
      </xdr:nvSpPr>
      <xdr:spPr>
        <a:xfrm>
          <a:off x="6349365" y="3768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C19579D-E501-4379-890B-434408125EF6}"/>
            </a:ext>
          </a:extLst>
        </xdr:cNvPr>
        <xdr:cNvSpPr/>
      </xdr:nvSpPr>
      <xdr:spPr>
        <a:xfrm>
          <a:off x="6492240" y="3930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EF9382DE-53D8-470C-9454-98D07B52E736}"/>
            </a:ext>
          </a:extLst>
        </xdr:cNvPr>
        <xdr:cNvSpPr/>
      </xdr:nvSpPr>
      <xdr:spPr>
        <a:xfrm>
          <a:off x="6663690" y="4072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3B9804E3-BF68-4FE6-AB6A-5E5D79D8CD9B}"/>
            </a:ext>
          </a:extLst>
        </xdr:cNvPr>
        <xdr:cNvCxnSpPr/>
      </xdr:nvCxnSpPr>
      <xdr:spPr>
        <a:xfrm flipH="1" flipV="1">
          <a:off x="63588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88E9858B-DA25-414C-9B7D-DD64401A2FEC}"/>
            </a:ext>
          </a:extLst>
        </xdr:cNvPr>
        <xdr:cNvCxnSpPr/>
      </xdr:nvCxnSpPr>
      <xdr:spPr>
        <a:xfrm flipH="1" flipV="1">
          <a:off x="65112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9D0B3194-70B6-4440-98F8-11904E526E52}"/>
            </a:ext>
          </a:extLst>
        </xdr:cNvPr>
        <xdr:cNvCxnSpPr/>
      </xdr:nvCxnSpPr>
      <xdr:spPr>
        <a:xfrm flipH="1" flipV="1">
          <a:off x="6682740" y="439674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C642E27-D200-4536-9012-B0C4D887AFBE}"/>
            </a:ext>
          </a:extLst>
        </xdr:cNvPr>
        <xdr:cNvCxnSpPr/>
      </xdr:nvCxnSpPr>
      <xdr:spPr>
        <a:xfrm>
          <a:off x="6263640" y="433006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:a16="http://schemas.microsoft.com/office/drawing/2014/main" id="{DB4CDB60-89FC-4538-AE96-FAE04EC2218C}"/>
            </a:ext>
          </a:extLst>
        </xdr:cNvPr>
        <xdr:cNvSpPr/>
      </xdr:nvSpPr>
      <xdr:spPr>
        <a:xfrm rot="5400000">
          <a:off x="6325553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:a16="http://schemas.microsoft.com/office/drawing/2014/main" id="{16C80DB8-0D50-487E-8996-EB803D6047E7}"/>
            </a:ext>
          </a:extLst>
        </xdr:cNvPr>
        <xdr:cNvSpPr/>
      </xdr:nvSpPr>
      <xdr:spPr>
        <a:xfrm rot="5400000">
          <a:off x="6477953" y="426815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:a16="http://schemas.microsoft.com/office/drawing/2014/main" id="{76A36530-E336-488F-9999-1D6A5A29A047}"/>
            </a:ext>
          </a:extLst>
        </xdr:cNvPr>
        <xdr:cNvSpPr/>
      </xdr:nvSpPr>
      <xdr:spPr>
        <a:xfrm rot="5400000">
          <a:off x="6620828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:a16="http://schemas.microsoft.com/office/drawing/2014/main" id="{41A89944-5347-449F-8227-FE51C9B532C2}"/>
            </a:ext>
          </a:extLst>
        </xdr:cNvPr>
        <xdr:cNvSpPr/>
      </xdr:nvSpPr>
      <xdr:spPr>
        <a:xfrm rot="10800000" flipH="1" flipV="1">
          <a:off x="6069330" y="1463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:a16="http://schemas.microsoft.com/office/drawing/2014/main" id="{3C8B0B91-4AF1-4090-8CD7-2B95814A8BAB}"/>
            </a:ext>
          </a:extLst>
        </xdr:cNvPr>
        <xdr:cNvSpPr/>
      </xdr:nvSpPr>
      <xdr:spPr>
        <a:xfrm rot="10800000" flipH="1" flipV="1">
          <a:off x="6059805" y="1624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:a16="http://schemas.microsoft.com/office/drawing/2014/main" id="{7D27FC6C-0F97-4579-B95D-F301B2E0C11E}"/>
            </a:ext>
          </a:extLst>
        </xdr:cNvPr>
        <xdr:cNvSpPr/>
      </xdr:nvSpPr>
      <xdr:spPr>
        <a:xfrm rot="10800000" flipH="1" flipV="1">
          <a:off x="6059805" y="1767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:a16="http://schemas.microsoft.com/office/drawing/2014/main" id="{BF1C20FA-7A4D-4C07-B619-18898F0D7EF5}"/>
            </a:ext>
          </a:extLst>
        </xdr:cNvPr>
        <xdr:cNvSpPr/>
      </xdr:nvSpPr>
      <xdr:spPr>
        <a:xfrm rot="10800000" flipH="1" flipV="1">
          <a:off x="6050280" y="1920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:a16="http://schemas.microsoft.com/office/drawing/2014/main" id="{CD408805-7BA8-4ACE-98ED-417D3E13C13F}"/>
            </a:ext>
          </a:extLst>
        </xdr:cNvPr>
        <xdr:cNvSpPr/>
      </xdr:nvSpPr>
      <xdr:spPr>
        <a:xfrm rot="10800000" flipH="1" flipV="1">
          <a:off x="6808470" y="1472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:a16="http://schemas.microsoft.com/office/drawing/2014/main" id="{C43B2989-1855-416A-8474-100E1BDAD9E2}"/>
            </a:ext>
          </a:extLst>
        </xdr:cNvPr>
        <xdr:cNvSpPr/>
      </xdr:nvSpPr>
      <xdr:spPr>
        <a:xfrm rot="10800000" flipH="1" flipV="1">
          <a:off x="6817995" y="160591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:a16="http://schemas.microsoft.com/office/drawing/2014/main" id="{C3E51B4D-8D0B-449A-B2F5-FED11ADA21D7}"/>
            </a:ext>
          </a:extLst>
        </xdr:cNvPr>
        <xdr:cNvSpPr/>
      </xdr:nvSpPr>
      <xdr:spPr>
        <a:xfrm rot="10800000" flipH="1" flipV="1">
          <a:off x="680847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:a16="http://schemas.microsoft.com/office/drawing/2014/main" id="{21F87149-7540-44E4-B63D-E5F68A91FAF2}"/>
            </a:ext>
          </a:extLst>
        </xdr:cNvPr>
        <xdr:cNvSpPr/>
      </xdr:nvSpPr>
      <xdr:spPr>
        <a:xfrm rot="10800000" flipH="1" flipV="1">
          <a:off x="6040755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:a16="http://schemas.microsoft.com/office/drawing/2014/main" id="{D26C89C9-0BD1-452C-918E-2886B3BB5745}"/>
            </a:ext>
          </a:extLst>
        </xdr:cNvPr>
        <xdr:cNvSpPr/>
      </xdr:nvSpPr>
      <xdr:spPr>
        <a:xfrm rot="10800000" flipH="1" flipV="1">
          <a:off x="6808470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:a16="http://schemas.microsoft.com/office/drawing/2014/main" id="{147F4305-A5AD-46FD-AFCA-EDC3D9E4E36A}"/>
            </a:ext>
          </a:extLst>
        </xdr:cNvPr>
        <xdr:cNvSpPr/>
      </xdr:nvSpPr>
      <xdr:spPr>
        <a:xfrm rot="10800000" flipH="1" flipV="1">
          <a:off x="6798945" y="2234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:a16="http://schemas.microsoft.com/office/drawing/2014/main" id="{D3B97FD8-EC72-41FD-B64E-538D983410A9}"/>
            </a:ext>
          </a:extLst>
        </xdr:cNvPr>
        <xdr:cNvSpPr/>
      </xdr:nvSpPr>
      <xdr:spPr>
        <a:xfrm rot="10800000" flipH="1" flipV="1">
          <a:off x="6059805" y="2377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:a16="http://schemas.microsoft.com/office/drawing/2014/main" id="{D604D762-5299-400F-83E7-D38E3B7024B4}"/>
            </a:ext>
          </a:extLst>
        </xdr:cNvPr>
        <xdr:cNvSpPr/>
      </xdr:nvSpPr>
      <xdr:spPr>
        <a:xfrm rot="10800000" flipH="1" flipV="1">
          <a:off x="6798945" y="2386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:a16="http://schemas.microsoft.com/office/drawing/2014/main" id="{03E4D934-F2FA-4281-83D1-B0E3723DCABC}"/>
            </a:ext>
          </a:extLst>
        </xdr:cNvPr>
        <xdr:cNvSpPr/>
      </xdr:nvSpPr>
      <xdr:spPr>
        <a:xfrm rot="10800000" flipH="1" flipV="1">
          <a:off x="6808470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:a16="http://schemas.microsoft.com/office/drawing/2014/main" id="{EF4F2DB1-BD4F-479D-AE34-5E76F981D74B}"/>
            </a:ext>
          </a:extLst>
        </xdr:cNvPr>
        <xdr:cNvSpPr/>
      </xdr:nvSpPr>
      <xdr:spPr>
        <a:xfrm rot="10800000" flipH="1" flipV="1">
          <a:off x="6798945" y="2691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:a16="http://schemas.microsoft.com/office/drawing/2014/main" id="{333A2C62-3821-4000-AFE7-D9D67877522A}"/>
            </a:ext>
          </a:extLst>
        </xdr:cNvPr>
        <xdr:cNvSpPr/>
      </xdr:nvSpPr>
      <xdr:spPr>
        <a:xfrm rot="10800000" flipH="1" flipV="1">
          <a:off x="6069330" y="2834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:a16="http://schemas.microsoft.com/office/drawing/2014/main" id="{164D8F4B-ED88-4379-8E6C-5E5A9A6CD080}"/>
            </a:ext>
          </a:extLst>
        </xdr:cNvPr>
        <xdr:cNvSpPr/>
      </xdr:nvSpPr>
      <xdr:spPr>
        <a:xfrm rot="10800000" flipH="1" flipV="1">
          <a:off x="6808470" y="2844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:a16="http://schemas.microsoft.com/office/drawing/2014/main" id="{F0A1D2A9-4F2A-4196-9B0D-8F77657B855E}"/>
            </a:ext>
          </a:extLst>
        </xdr:cNvPr>
        <xdr:cNvSpPr/>
      </xdr:nvSpPr>
      <xdr:spPr>
        <a:xfrm rot="10800000" flipH="1" flipV="1">
          <a:off x="6050280" y="298704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:a16="http://schemas.microsoft.com/office/drawing/2014/main" id="{598F5300-6300-440D-A2B7-5FF7AAB49ADB}"/>
            </a:ext>
          </a:extLst>
        </xdr:cNvPr>
        <xdr:cNvSpPr/>
      </xdr:nvSpPr>
      <xdr:spPr>
        <a:xfrm rot="10800000" flipH="1" flipV="1">
          <a:off x="6798945" y="299656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:a16="http://schemas.microsoft.com/office/drawing/2014/main" id="{080ED4A5-4123-453D-8C5C-739852C7E63F}"/>
            </a:ext>
          </a:extLst>
        </xdr:cNvPr>
        <xdr:cNvSpPr/>
      </xdr:nvSpPr>
      <xdr:spPr>
        <a:xfrm rot="10800000" flipH="1" flipV="1">
          <a:off x="6050280" y="3148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:a16="http://schemas.microsoft.com/office/drawing/2014/main" id="{3D7AA307-2D94-4645-9758-1FED72611347}"/>
            </a:ext>
          </a:extLst>
        </xdr:cNvPr>
        <xdr:cNvSpPr/>
      </xdr:nvSpPr>
      <xdr:spPr>
        <a:xfrm rot="10800000" flipH="1" flipV="1">
          <a:off x="6808470" y="3139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:a16="http://schemas.microsoft.com/office/drawing/2014/main" id="{BB60165F-F43F-4F46-BB09-A1B7CAC64117}"/>
            </a:ext>
          </a:extLst>
        </xdr:cNvPr>
        <xdr:cNvSpPr/>
      </xdr:nvSpPr>
      <xdr:spPr>
        <a:xfrm rot="10800000" flipH="1" flipV="1">
          <a:off x="605028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:a16="http://schemas.microsoft.com/office/drawing/2014/main" id="{9F31BE72-E37E-48C9-B431-A66D3C4151CE}"/>
            </a:ext>
          </a:extLst>
        </xdr:cNvPr>
        <xdr:cNvSpPr/>
      </xdr:nvSpPr>
      <xdr:spPr>
        <a:xfrm rot="10800000" flipH="1" flipV="1">
          <a:off x="682752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:a16="http://schemas.microsoft.com/office/drawing/2014/main" id="{7A4C172C-077E-4FFA-BE59-B6C5863A82F1}"/>
            </a:ext>
          </a:extLst>
        </xdr:cNvPr>
        <xdr:cNvSpPr/>
      </xdr:nvSpPr>
      <xdr:spPr>
        <a:xfrm rot="10800000" flipH="1" flipV="1">
          <a:off x="6059805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:a16="http://schemas.microsoft.com/office/drawing/2014/main" id="{FAEBDFD5-38CA-434A-AFEF-8229BC654CF0}"/>
            </a:ext>
          </a:extLst>
        </xdr:cNvPr>
        <xdr:cNvSpPr/>
      </xdr:nvSpPr>
      <xdr:spPr>
        <a:xfrm rot="10800000" flipH="1" flipV="1">
          <a:off x="6808470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:a16="http://schemas.microsoft.com/office/drawing/2014/main" id="{CB7B7C48-4F13-4252-AA69-3C4DA93F2374}"/>
            </a:ext>
          </a:extLst>
        </xdr:cNvPr>
        <xdr:cNvSpPr/>
      </xdr:nvSpPr>
      <xdr:spPr>
        <a:xfrm rot="10800000" flipH="1" flipV="1">
          <a:off x="6059805" y="3606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:a16="http://schemas.microsoft.com/office/drawing/2014/main" id="{9D564DD0-12B6-44FD-9D5F-E73F71C89DC3}"/>
            </a:ext>
          </a:extLst>
        </xdr:cNvPr>
        <xdr:cNvSpPr/>
      </xdr:nvSpPr>
      <xdr:spPr>
        <a:xfrm rot="10800000" flipH="1" flipV="1">
          <a:off x="6808470" y="3596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:a16="http://schemas.microsoft.com/office/drawing/2014/main" id="{24E56119-9311-415A-8567-B6461901F8C5}"/>
            </a:ext>
          </a:extLst>
        </xdr:cNvPr>
        <xdr:cNvSpPr/>
      </xdr:nvSpPr>
      <xdr:spPr>
        <a:xfrm rot="10800000" flipH="1" flipV="1">
          <a:off x="605028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:a16="http://schemas.microsoft.com/office/drawing/2014/main" id="{AF721D98-65A3-47E8-85FE-551621994F6C}"/>
            </a:ext>
          </a:extLst>
        </xdr:cNvPr>
        <xdr:cNvSpPr/>
      </xdr:nvSpPr>
      <xdr:spPr>
        <a:xfrm rot="10800000" flipH="1" flipV="1">
          <a:off x="680847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:a16="http://schemas.microsoft.com/office/drawing/2014/main" id="{3AC175C4-2EDB-4849-85DE-C23D43C0DC8F}"/>
            </a:ext>
          </a:extLst>
        </xdr:cNvPr>
        <xdr:cNvSpPr/>
      </xdr:nvSpPr>
      <xdr:spPr>
        <a:xfrm rot="10800000" flipH="1" flipV="1">
          <a:off x="605980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:a16="http://schemas.microsoft.com/office/drawing/2014/main" id="{6EB5BECB-8D01-484C-9734-48B2D9B73CED}"/>
            </a:ext>
          </a:extLst>
        </xdr:cNvPr>
        <xdr:cNvSpPr/>
      </xdr:nvSpPr>
      <xdr:spPr>
        <a:xfrm rot="10800000" flipH="1" flipV="1">
          <a:off x="681799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:a16="http://schemas.microsoft.com/office/drawing/2014/main" id="{97186518-39FA-4AEC-AAC5-298E4E2B217A}"/>
            </a:ext>
          </a:extLst>
        </xdr:cNvPr>
        <xdr:cNvSpPr/>
      </xdr:nvSpPr>
      <xdr:spPr>
        <a:xfrm rot="10800000" flipH="1" flipV="1">
          <a:off x="604075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:a16="http://schemas.microsoft.com/office/drawing/2014/main" id="{55A2D9DE-8525-421C-80C8-0125BFE8FB74}"/>
            </a:ext>
          </a:extLst>
        </xdr:cNvPr>
        <xdr:cNvSpPr/>
      </xdr:nvSpPr>
      <xdr:spPr>
        <a:xfrm rot="10800000" flipH="1" flipV="1">
          <a:off x="681799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15240</xdr:colOff>
      <xdr:row>13</xdr:row>
      <xdr:rowOff>0</xdr:rowOff>
    </xdr:from>
    <xdr:ext cx="1844040" cy="1836420"/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52E5BDB2-DF26-43FB-AE8A-E00260453553}"/>
            </a:ext>
          </a:extLst>
        </xdr:cNvPr>
        <xdr:cNvCxnSpPr/>
      </xdr:nvCxnSpPr>
      <xdr:spPr>
        <a:xfrm>
          <a:off x="15240" y="2263140"/>
          <a:ext cx="1844040" cy="183642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15240</xdr:colOff>
      <xdr:row>13</xdr:row>
      <xdr:rowOff>0</xdr:rowOff>
    </xdr:from>
    <xdr:ext cx="1851660" cy="1828800"/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35658C01-46AC-4820-881C-7E1B2E11BDB5}"/>
            </a:ext>
          </a:extLst>
        </xdr:cNvPr>
        <xdr:cNvCxnSpPr/>
      </xdr:nvCxnSpPr>
      <xdr:spPr>
        <a:xfrm flipH="1">
          <a:off x="15240" y="2263140"/>
          <a:ext cx="1851660" cy="182880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22860</xdr:colOff>
      <xdr:row>13</xdr:row>
      <xdr:rowOff>7620</xdr:rowOff>
    </xdr:from>
    <xdr:ext cx="1706880" cy="1821180"/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E36D8795-243A-439D-838C-7447F369459D}"/>
            </a:ext>
          </a:extLst>
        </xdr:cNvPr>
        <xdr:cNvCxnSpPr/>
      </xdr:nvCxnSpPr>
      <xdr:spPr>
        <a:xfrm>
          <a:off x="11132820" y="2270760"/>
          <a:ext cx="1706880" cy="182118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22860</xdr:colOff>
      <xdr:row>13</xdr:row>
      <xdr:rowOff>7620</xdr:rowOff>
    </xdr:from>
    <xdr:ext cx="1706880" cy="1821180"/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6CAF30ED-0550-4453-B7AC-3BA7AC8A35F2}"/>
            </a:ext>
          </a:extLst>
        </xdr:cNvPr>
        <xdr:cNvCxnSpPr/>
      </xdr:nvCxnSpPr>
      <xdr:spPr>
        <a:xfrm flipH="1">
          <a:off x="11132820" y="2270760"/>
          <a:ext cx="1706880" cy="182118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:a16="http://schemas.microsoft.com/office/drawing/2014/main" id="{279FB5A6-497B-4EC7-BB5D-285E386BCF22}"/>
            </a:ext>
          </a:extLst>
        </xdr:cNvPr>
        <xdr:cNvSpPr/>
      </xdr:nvSpPr>
      <xdr:spPr>
        <a:xfrm rot="10800000" flipH="1" flipV="1">
          <a:off x="6059805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:a16="http://schemas.microsoft.com/office/drawing/2014/main" id="{7BCBA987-B3D4-4753-9999-8FC2AD222786}"/>
            </a:ext>
          </a:extLst>
        </xdr:cNvPr>
        <xdr:cNvSpPr/>
      </xdr:nvSpPr>
      <xdr:spPr>
        <a:xfrm rot="10800000" flipH="1" flipV="1">
          <a:off x="680847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:a16="http://schemas.microsoft.com/office/drawing/2014/main" id="{90A01386-95CD-4326-A1F6-458ED8A883C9}"/>
            </a:ext>
          </a:extLst>
        </xdr:cNvPr>
        <xdr:cNvSpPr/>
      </xdr:nvSpPr>
      <xdr:spPr>
        <a:xfrm rot="10800000" flipH="1" flipV="1">
          <a:off x="6040755" y="2225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:a16="http://schemas.microsoft.com/office/drawing/2014/main" id="{CD8C3A3C-58CD-4F1E-8357-275CB3887B1B}"/>
            </a:ext>
          </a:extLst>
        </xdr:cNvPr>
        <xdr:cNvSpPr/>
      </xdr:nvSpPr>
      <xdr:spPr>
        <a:xfrm rot="10800000" flipH="1" flipV="1">
          <a:off x="680847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 lang="en-NG"/>
        </a:p>
      </xdr:txBody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:a16="http://schemas.microsoft.com/office/drawing/2014/main" id="{EFC0A3B3-8E67-47B1-B9AF-0641812CF8B2}"/>
            </a:ext>
          </a:extLst>
        </xdr:cNvPr>
        <xdr:cNvSpPr/>
      </xdr:nvSpPr>
      <xdr:spPr>
        <a:xfrm rot="10800000" flipH="1" flipV="1">
          <a:off x="680847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:a16="http://schemas.microsoft.com/office/drawing/2014/main" id="{E673C60C-209E-4BA8-B2A1-79EBD4868ED6}"/>
            </a:ext>
          </a:extLst>
        </xdr:cNvPr>
        <xdr:cNvSpPr/>
      </xdr:nvSpPr>
      <xdr:spPr>
        <a:xfrm rot="10800000" flipH="1" flipV="1">
          <a:off x="6050280" y="2682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105EDE4-EDD1-4FF3-A283-BC82FE21694C}"/>
            </a:ext>
          </a:extLst>
        </xdr:cNvPr>
        <xdr:cNvCxnSpPr/>
      </xdr:nvCxnSpPr>
      <xdr:spPr>
        <a:xfrm>
          <a:off x="6250305" y="1501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8BAAADD-09C1-49C1-A143-51666A2B0D81}"/>
            </a:ext>
          </a:extLst>
        </xdr:cNvPr>
        <xdr:cNvCxnSpPr/>
      </xdr:nvCxnSpPr>
      <xdr:spPr>
        <a:xfrm>
          <a:off x="6259830" y="1653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206E404-14AF-40BD-A82B-97C55113DA60}"/>
            </a:ext>
          </a:extLst>
        </xdr:cNvPr>
        <xdr:cNvCxnSpPr/>
      </xdr:nvCxnSpPr>
      <xdr:spPr>
        <a:xfrm>
          <a:off x="6250305" y="1805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065756E-7DBB-42D8-981D-49F480F875F3}"/>
            </a:ext>
          </a:extLst>
        </xdr:cNvPr>
        <xdr:cNvCxnSpPr/>
      </xdr:nvCxnSpPr>
      <xdr:spPr>
        <a:xfrm>
          <a:off x="6250305" y="1958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EF936F1-6A43-44D4-A42B-3C7D0DE8FECA}"/>
            </a:ext>
          </a:extLst>
        </xdr:cNvPr>
        <xdr:cNvCxnSpPr/>
      </xdr:nvCxnSpPr>
      <xdr:spPr>
        <a:xfrm>
          <a:off x="6250305" y="2110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42C1E6F-32BB-4066-99AD-DF67B1F2C6C6}"/>
            </a:ext>
          </a:extLst>
        </xdr:cNvPr>
        <xdr:cNvCxnSpPr/>
      </xdr:nvCxnSpPr>
      <xdr:spPr>
        <a:xfrm>
          <a:off x="6250305" y="2263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0739CFD-8890-4B25-B091-CEE281918E1A}"/>
            </a:ext>
          </a:extLst>
        </xdr:cNvPr>
        <xdr:cNvCxnSpPr/>
      </xdr:nvCxnSpPr>
      <xdr:spPr>
        <a:xfrm>
          <a:off x="6250305" y="2415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4750A4D-EB5F-40E9-A07C-81A13C1F5A2A}"/>
            </a:ext>
          </a:extLst>
        </xdr:cNvPr>
        <xdr:cNvCxnSpPr/>
      </xdr:nvCxnSpPr>
      <xdr:spPr>
        <a:xfrm>
          <a:off x="6250305" y="2567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CB0BD7C-57F8-4BD5-A8E8-99F79AD37D26}"/>
            </a:ext>
          </a:extLst>
        </xdr:cNvPr>
        <xdr:cNvCxnSpPr/>
      </xdr:nvCxnSpPr>
      <xdr:spPr>
        <a:xfrm>
          <a:off x="6250305" y="2720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4266882-1B64-4132-B06B-B4E3EF5B0AD9}"/>
            </a:ext>
          </a:extLst>
        </xdr:cNvPr>
        <xdr:cNvCxnSpPr/>
      </xdr:nvCxnSpPr>
      <xdr:spPr>
        <a:xfrm>
          <a:off x="6250305" y="2872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1192634-4CDE-4566-A8E6-FC855320626E}"/>
            </a:ext>
          </a:extLst>
        </xdr:cNvPr>
        <xdr:cNvCxnSpPr/>
      </xdr:nvCxnSpPr>
      <xdr:spPr>
        <a:xfrm>
          <a:off x="6250305" y="3025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2740FE6-58A3-473B-8EFC-26113828D122}"/>
            </a:ext>
          </a:extLst>
        </xdr:cNvPr>
        <xdr:cNvCxnSpPr/>
      </xdr:nvCxnSpPr>
      <xdr:spPr>
        <a:xfrm>
          <a:off x="6250305" y="3177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10819F7-BD22-48B8-8121-1AEF2C5D0E2F}"/>
            </a:ext>
          </a:extLst>
        </xdr:cNvPr>
        <xdr:cNvCxnSpPr/>
      </xdr:nvCxnSpPr>
      <xdr:spPr>
        <a:xfrm>
          <a:off x="6250305" y="3329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2A57D69-3AF1-41FE-9E87-B672414C1B91}"/>
            </a:ext>
          </a:extLst>
        </xdr:cNvPr>
        <xdr:cNvCxnSpPr/>
      </xdr:nvCxnSpPr>
      <xdr:spPr>
        <a:xfrm>
          <a:off x="6250305" y="34823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1A7FD20-D16F-481C-BD9F-A8C7374DE897}"/>
            </a:ext>
          </a:extLst>
        </xdr:cNvPr>
        <xdr:cNvCxnSpPr/>
      </xdr:nvCxnSpPr>
      <xdr:spPr>
        <a:xfrm>
          <a:off x="6250305" y="36347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316D352-713B-4300-8441-505B1125F855}"/>
            </a:ext>
          </a:extLst>
        </xdr:cNvPr>
        <xdr:cNvCxnSpPr/>
      </xdr:nvCxnSpPr>
      <xdr:spPr>
        <a:xfrm>
          <a:off x="6250305" y="37871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F73EDF5-71B3-4AA4-8ADB-0910E2A58B29}"/>
            </a:ext>
          </a:extLst>
        </xdr:cNvPr>
        <xdr:cNvCxnSpPr/>
      </xdr:nvCxnSpPr>
      <xdr:spPr>
        <a:xfrm>
          <a:off x="6250305" y="39395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5DD44A7-C35D-4273-8476-D329F2665D39}"/>
            </a:ext>
          </a:extLst>
        </xdr:cNvPr>
        <xdr:cNvCxnSpPr/>
      </xdr:nvCxnSpPr>
      <xdr:spPr>
        <a:xfrm>
          <a:off x="6250305" y="409194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831C24C7-D752-4341-98B1-FE639B3E0FB7}"/>
            </a:ext>
          </a:extLst>
        </xdr:cNvPr>
        <xdr:cNvCxnSpPr/>
      </xdr:nvCxnSpPr>
      <xdr:spPr>
        <a:xfrm>
          <a:off x="6358890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B127268-AF15-43D5-8A3F-119ED44A3B54}"/>
            </a:ext>
          </a:extLst>
        </xdr:cNvPr>
        <xdr:cNvCxnSpPr/>
      </xdr:nvCxnSpPr>
      <xdr:spPr>
        <a:xfrm>
          <a:off x="6501765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550849E-C4EA-4780-B1C6-9B2F88E370B1}"/>
            </a:ext>
          </a:extLst>
        </xdr:cNvPr>
        <xdr:cNvCxnSpPr/>
      </xdr:nvCxnSpPr>
      <xdr:spPr>
        <a:xfrm>
          <a:off x="6692265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90FC40E1-959D-436F-86DD-F5C42EA1271B}"/>
            </a:ext>
          </a:extLst>
        </xdr:cNvPr>
        <xdr:cNvSpPr/>
      </xdr:nvSpPr>
      <xdr:spPr>
        <a:xfrm>
          <a:off x="6330315" y="1482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3F6D601-76D3-4F26-AE54-6EC3E2BC80BF}"/>
            </a:ext>
          </a:extLst>
        </xdr:cNvPr>
        <xdr:cNvSpPr/>
      </xdr:nvSpPr>
      <xdr:spPr>
        <a:xfrm>
          <a:off x="6482715" y="1644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ABA4CB55-6769-41E7-8CD6-5FE0C9538725}"/>
            </a:ext>
          </a:extLst>
        </xdr:cNvPr>
        <xdr:cNvSpPr/>
      </xdr:nvSpPr>
      <xdr:spPr>
        <a:xfrm>
          <a:off x="6654165" y="1786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B902953-1E13-4DC8-8992-72A03F236DAF}"/>
            </a:ext>
          </a:extLst>
        </xdr:cNvPr>
        <xdr:cNvSpPr/>
      </xdr:nvSpPr>
      <xdr:spPr>
        <a:xfrm>
          <a:off x="6339840" y="19392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7783584-0061-4455-B7D4-9FF842403BC0}"/>
            </a:ext>
          </a:extLst>
        </xdr:cNvPr>
        <xdr:cNvSpPr/>
      </xdr:nvSpPr>
      <xdr:spPr>
        <a:xfrm>
          <a:off x="6482715" y="2091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B32A9F2-3818-42F9-A1F2-A0FCC241DA84}"/>
            </a:ext>
          </a:extLst>
        </xdr:cNvPr>
        <xdr:cNvSpPr/>
      </xdr:nvSpPr>
      <xdr:spPr>
        <a:xfrm>
          <a:off x="6654165" y="22536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8FBCD860-4FA3-4510-8A0B-B8D04884E7A2}"/>
            </a:ext>
          </a:extLst>
        </xdr:cNvPr>
        <xdr:cNvSpPr/>
      </xdr:nvSpPr>
      <xdr:spPr>
        <a:xfrm>
          <a:off x="6339840" y="2396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7E0D66D-30AC-4FD4-B6ED-B82D825A1B0E}"/>
            </a:ext>
          </a:extLst>
        </xdr:cNvPr>
        <xdr:cNvSpPr/>
      </xdr:nvSpPr>
      <xdr:spPr>
        <a:xfrm>
          <a:off x="6482715" y="2548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30CD3BD-1D72-4396-A5E4-34BAC877E12C}"/>
            </a:ext>
          </a:extLst>
        </xdr:cNvPr>
        <xdr:cNvSpPr/>
      </xdr:nvSpPr>
      <xdr:spPr>
        <a:xfrm>
          <a:off x="6654165" y="2710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4329E71-61D8-44A8-AE2B-15193AE2BF4C}"/>
            </a:ext>
          </a:extLst>
        </xdr:cNvPr>
        <xdr:cNvSpPr/>
      </xdr:nvSpPr>
      <xdr:spPr>
        <a:xfrm>
          <a:off x="6339840" y="2853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918097D-961A-407F-9B57-45966C11F8F0}"/>
            </a:ext>
          </a:extLst>
        </xdr:cNvPr>
        <xdr:cNvSpPr/>
      </xdr:nvSpPr>
      <xdr:spPr>
        <a:xfrm>
          <a:off x="6482715" y="3006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6E2319F-381A-45AC-A465-7CF5B9EDCEA5}"/>
            </a:ext>
          </a:extLst>
        </xdr:cNvPr>
        <xdr:cNvSpPr/>
      </xdr:nvSpPr>
      <xdr:spPr>
        <a:xfrm>
          <a:off x="6654165" y="31584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DEAF66A9-F9CC-47DF-9ACF-00A900E0005C}"/>
            </a:ext>
          </a:extLst>
        </xdr:cNvPr>
        <xdr:cNvSpPr/>
      </xdr:nvSpPr>
      <xdr:spPr>
        <a:xfrm>
          <a:off x="6349365" y="3310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2F5BB258-5262-4032-89CF-67445580B241}"/>
            </a:ext>
          </a:extLst>
        </xdr:cNvPr>
        <xdr:cNvSpPr/>
      </xdr:nvSpPr>
      <xdr:spPr>
        <a:xfrm>
          <a:off x="6482715" y="34728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C8B9E0-4DDB-4C74-83BB-6651E9B21D15}"/>
            </a:ext>
          </a:extLst>
        </xdr:cNvPr>
        <xdr:cNvSpPr/>
      </xdr:nvSpPr>
      <xdr:spPr>
        <a:xfrm>
          <a:off x="6663690" y="36156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296BCA5-D56C-40E1-9459-92FF86969280}"/>
            </a:ext>
          </a:extLst>
        </xdr:cNvPr>
        <xdr:cNvSpPr/>
      </xdr:nvSpPr>
      <xdr:spPr>
        <a:xfrm>
          <a:off x="6349365" y="37680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428A7-E474-4040-898B-6BCD85577477}"/>
            </a:ext>
          </a:extLst>
        </xdr:cNvPr>
        <xdr:cNvSpPr/>
      </xdr:nvSpPr>
      <xdr:spPr>
        <a:xfrm>
          <a:off x="6492240" y="393001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DEE7F0B3-0065-4D0C-9491-8EAFB816CC06}"/>
            </a:ext>
          </a:extLst>
        </xdr:cNvPr>
        <xdr:cNvSpPr/>
      </xdr:nvSpPr>
      <xdr:spPr>
        <a:xfrm>
          <a:off x="6663690" y="407289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5635834-4620-4198-BAE0-81682FE804F7}"/>
            </a:ext>
          </a:extLst>
        </xdr:cNvPr>
        <xdr:cNvCxnSpPr/>
      </xdr:nvCxnSpPr>
      <xdr:spPr>
        <a:xfrm flipH="1" flipV="1">
          <a:off x="63588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EEA0D83-482A-4CEF-A9F0-3797AC5D8DD5}"/>
            </a:ext>
          </a:extLst>
        </xdr:cNvPr>
        <xdr:cNvCxnSpPr/>
      </xdr:nvCxnSpPr>
      <xdr:spPr>
        <a:xfrm flipH="1" flipV="1">
          <a:off x="6511290" y="439674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912F3B28-37B7-45B5-841E-F80A2FFA53FE}"/>
            </a:ext>
          </a:extLst>
        </xdr:cNvPr>
        <xdr:cNvCxnSpPr/>
      </xdr:nvCxnSpPr>
      <xdr:spPr>
        <a:xfrm flipH="1" flipV="1">
          <a:off x="6682740" y="439674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0198BD0-9DEC-4779-A3BF-E85C903887B2}"/>
            </a:ext>
          </a:extLst>
        </xdr:cNvPr>
        <xdr:cNvCxnSpPr/>
      </xdr:nvCxnSpPr>
      <xdr:spPr>
        <a:xfrm>
          <a:off x="6263640" y="433006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:a16="http://schemas.microsoft.com/office/drawing/2014/main" id="{9EA29576-CCCA-4B0F-B721-6C59B9AD5423}"/>
            </a:ext>
          </a:extLst>
        </xdr:cNvPr>
        <xdr:cNvSpPr/>
      </xdr:nvSpPr>
      <xdr:spPr>
        <a:xfrm rot="5400000">
          <a:off x="6325553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:a16="http://schemas.microsoft.com/office/drawing/2014/main" id="{C72ACA42-BEF7-46A9-BFE6-1E3F29F276CE}"/>
            </a:ext>
          </a:extLst>
        </xdr:cNvPr>
        <xdr:cNvSpPr/>
      </xdr:nvSpPr>
      <xdr:spPr>
        <a:xfrm rot="5400000">
          <a:off x="6477953" y="426815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:a16="http://schemas.microsoft.com/office/drawing/2014/main" id="{2CEA8779-D341-4974-AFAB-21E8AD3705A3}"/>
            </a:ext>
          </a:extLst>
        </xdr:cNvPr>
        <xdr:cNvSpPr/>
      </xdr:nvSpPr>
      <xdr:spPr>
        <a:xfrm rot="5400000">
          <a:off x="6620828" y="427767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:a16="http://schemas.microsoft.com/office/drawing/2014/main" id="{880FAB04-9D07-45F3-B3C4-C00219CC9F69}"/>
            </a:ext>
          </a:extLst>
        </xdr:cNvPr>
        <xdr:cNvSpPr/>
      </xdr:nvSpPr>
      <xdr:spPr>
        <a:xfrm rot="10800000" flipH="1" flipV="1">
          <a:off x="6069330" y="1463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:a16="http://schemas.microsoft.com/office/drawing/2014/main" id="{49455858-A995-4E49-B5C7-DDED17584089}"/>
            </a:ext>
          </a:extLst>
        </xdr:cNvPr>
        <xdr:cNvSpPr/>
      </xdr:nvSpPr>
      <xdr:spPr>
        <a:xfrm rot="10800000" flipH="1" flipV="1">
          <a:off x="6059805" y="1624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:a16="http://schemas.microsoft.com/office/drawing/2014/main" id="{76CD4717-A55D-45FB-9011-D88F50273A66}"/>
            </a:ext>
          </a:extLst>
        </xdr:cNvPr>
        <xdr:cNvSpPr/>
      </xdr:nvSpPr>
      <xdr:spPr>
        <a:xfrm rot="10800000" flipH="1" flipV="1">
          <a:off x="6059805" y="1767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:a16="http://schemas.microsoft.com/office/drawing/2014/main" id="{E2652A64-847B-47D9-A9B7-A1EC83618376}"/>
            </a:ext>
          </a:extLst>
        </xdr:cNvPr>
        <xdr:cNvSpPr/>
      </xdr:nvSpPr>
      <xdr:spPr>
        <a:xfrm rot="10800000" flipH="1" flipV="1">
          <a:off x="6050280" y="1920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:a16="http://schemas.microsoft.com/office/drawing/2014/main" id="{69EFF3F5-ABC9-4F68-9FAB-83672B7C4266}"/>
            </a:ext>
          </a:extLst>
        </xdr:cNvPr>
        <xdr:cNvSpPr/>
      </xdr:nvSpPr>
      <xdr:spPr>
        <a:xfrm rot="10800000" flipH="1" flipV="1">
          <a:off x="6785610" y="1472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:a16="http://schemas.microsoft.com/office/drawing/2014/main" id="{7641F47E-7EBA-49E0-846D-41006F101C21}"/>
            </a:ext>
          </a:extLst>
        </xdr:cNvPr>
        <xdr:cNvSpPr/>
      </xdr:nvSpPr>
      <xdr:spPr>
        <a:xfrm rot="10800000" flipH="1" flipV="1">
          <a:off x="6795135" y="160591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:a16="http://schemas.microsoft.com/office/drawing/2014/main" id="{93ED7CD9-221C-47AB-9378-5E7919129927}"/>
            </a:ext>
          </a:extLst>
        </xdr:cNvPr>
        <xdr:cNvSpPr/>
      </xdr:nvSpPr>
      <xdr:spPr>
        <a:xfrm rot="10800000" flipH="1" flipV="1">
          <a:off x="678561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:a16="http://schemas.microsoft.com/office/drawing/2014/main" id="{58DEE7D1-68E8-4DB7-BF64-23C93D557D1E}"/>
            </a:ext>
          </a:extLst>
        </xdr:cNvPr>
        <xdr:cNvSpPr/>
      </xdr:nvSpPr>
      <xdr:spPr>
        <a:xfrm rot="10800000" flipH="1" flipV="1">
          <a:off x="6040755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:a16="http://schemas.microsoft.com/office/drawing/2014/main" id="{A103D4D8-DCDE-4327-ACCE-4395137A1B96}"/>
            </a:ext>
          </a:extLst>
        </xdr:cNvPr>
        <xdr:cNvSpPr/>
      </xdr:nvSpPr>
      <xdr:spPr>
        <a:xfrm rot="10800000" flipH="1" flipV="1">
          <a:off x="6785610" y="2072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:a16="http://schemas.microsoft.com/office/drawing/2014/main" id="{D42CB81D-DB4C-4C72-9893-352A2957680A}"/>
            </a:ext>
          </a:extLst>
        </xdr:cNvPr>
        <xdr:cNvSpPr/>
      </xdr:nvSpPr>
      <xdr:spPr>
        <a:xfrm rot="10800000" flipH="1" flipV="1">
          <a:off x="6776085" y="2234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:a16="http://schemas.microsoft.com/office/drawing/2014/main" id="{D6071CDA-6527-44CA-8C51-737D1ED15BC7}"/>
            </a:ext>
          </a:extLst>
        </xdr:cNvPr>
        <xdr:cNvSpPr/>
      </xdr:nvSpPr>
      <xdr:spPr>
        <a:xfrm rot="10800000" flipH="1" flipV="1">
          <a:off x="6059805" y="2377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:a16="http://schemas.microsoft.com/office/drawing/2014/main" id="{36891009-C8F3-47A5-94C0-604FD3758B71}"/>
            </a:ext>
          </a:extLst>
        </xdr:cNvPr>
        <xdr:cNvSpPr/>
      </xdr:nvSpPr>
      <xdr:spPr>
        <a:xfrm rot="10800000" flipH="1" flipV="1">
          <a:off x="6776085" y="2386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:a16="http://schemas.microsoft.com/office/drawing/2014/main" id="{20718E35-8A96-4B18-90F0-F4E870F0ADAA}"/>
            </a:ext>
          </a:extLst>
        </xdr:cNvPr>
        <xdr:cNvSpPr/>
      </xdr:nvSpPr>
      <xdr:spPr>
        <a:xfrm rot="10800000" flipH="1" flipV="1">
          <a:off x="6785610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:a16="http://schemas.microsoft.com/office/drawing/2014/main" id="{E74F4DD2-1BBA-4DAC-B565-2F94C7E5328F}"/>
            </a:ext>
          </a:extLst>
        </xdr:cNvPr>
        <xdr:cNvSpPr/>
      </xdr:nvSpPr>
      <xdr:spPr>
        <a:xfrm rot="10800000" flipH="1" flipV="1">
          <a:off x="6776085" y="2691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:a16="http://schemas.microsoft.com/office/drawing/2014/main" id="{5D9212B7-158C-43EA-9F04-D13781855F76}"/>
            </a:ext>
          </a:extLst>
        </xdr:cNvPr>
        <xdr:cNvSpPr/>
      </xdr:nvSpPr>
      <xdr:spPr>
        <a:xfrm rot="10800000" flipH="1" flipV="1">
          <a:off x="6069330" y="2834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:a16="http://schemas.microsoft.com/office/drawing/2014/main" id="{BA72BDAE-0A6D-4B35-B96B-252E1EB999AA}"/>
            </a:ext>
          </a:extLst>
        </xdr:cNvPr>
        <xdr:cNvSpPr/>
      </xdr:nvSpPr>
      <xdr:spPr>
        <a:xfrm rot="10800000" flipH="1" flipV="1">
          <a:off x="6785610" y="2844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:a16="http://schemas.microsoft.com/office/drawing/2014/main" id="{E16DBCBB-7947-4464-B1E3-D5AF81D15B41}"/>
            </a:ext>
          </a:extLst>
        </xdr:cNvPr>
        <xdr:cNvSpPr/>
      </xdr:nvSpPr>
      <xdr:spPr>
        <a:xfrm rot="10800000" flipH="1" flipV="1">
          <a:off x="6050280" y="298704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:a16="http://schemas.microsoft.com/office/drawing/2014/main" id="{747403B1-F2E2-460F-856F-FB166EB75581}"/>
            </a:ext>
          </a:extLst>
        </xdr:cNvPr>
        <xdr:cNvSpPr/>
      </xdr:nvSpPr>
      <xdr:spPr>
        <a:xfrm rot="10800000" flipH="1" flipV="1">
          <a:off x="6776085" y="299656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:a16="http://schemas.microsoft.com/office/drawing/2014/main" id="{0F26A86B-BA3E-423B-93DD-D93335422F6B}"/>
            </a:ext>
          </a:extLst>
        </xdr:cNvPr>
        <xdr:cNvSpPr/>
      </xdr:nvSpPr>
      <xdr:spPr>
        <a:xfrm rot="10800000" flipH="1" flipV="1">
          <a:off x="6050280" y="3148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:a16="http://schemas.microsoft.com/office/drawing/2014/main" id="{56AC6FA0-EA9C-40C1-918C-57EC8A1397DF}"/>
            </a:ext>
          </a:extLst>
        </xdr:cNvPr>
        <xdr:cNvSpPr/>
      </xdr:nvSpPr>
      <xdr:spPr>
        <a:xfrm rot="10800000" flipH="1" flipV="1">
          <a:off x="6785610" y="31394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:a16="http://schemas.microsoft.com/office/drawing/2014/main" id="{10C2E655-7001-4762-985B-2D82D3831A8C}"/>
            </a:ext>
          </a:extLst>
        </xdr:cNvPr>
        <xdr:cNvSpPr/>
      </xdr:nvSpPr>
      <xdr:spPr>
        <a:xfrm rot="10800000" flipH="1" flipV="1">
          <a:off x="605028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:a16="http://schemas.microsoft.com/office/drawing/2014/main" id="{D4A7F4F9-165B-4580-9452-462073096D21}"/>
            </a:ext>
          </a:extLst>
        </xdr:cNvPr>
        <xdr:cNvSpPr/>
      </xdr:nvSpPr>
      <xdr:spPr>
        <a:xfrm rot="10800000" flipH="1" flipV="1">
          <a:off x="6804660" y="3301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:a16="http://schemas.microsoft.com/office/drawing/2014/main" id="{D74D5F0A-4521-4A37-B53D-BB0B9B512E0B}"/>
            </a:ext>
          </a:extLst>
        </xdr:cNvPr>
        <xdr:cNvSpPr/>
      </xdr:nvSpPr>
      <xdr:spPr>
        <a:xfrm rot="10800000" flipH="1" flipV="1">
          <a:off x="6059805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:a16="http://schemas.microsoft.com/office/drawing/2014/main" id="{71A45815-F208-4535-AB40-D40CCF320EF1}"/>
            </a:ext>
          </a:extLst>
        </xdr:cNvPr>
        <xdr:cNvSpPr/>
      </xdr:nvSpPr>
      <xdr:spPr>
        <a:xfrm rot="10800000" flipH="1" flipV="1">
          <a:off x="6785610" y="3453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:a16="http://schemas.microsoft.com/office/drawing/2014/main" id="{29B99EE7-EA9D-4A8C-9796-14BA69B4CE41}"/>
            </a:ext>
          </a:extLst>
        </xdr:cNvPr>
        <xdr:cNvSpPr/>
      </xdr:nvSpPr>
      <xdr:spPr>
        <a:xfrm rot="10800000" flipH="1" flipV="1">
          <a:off x="6059805" y="36061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:a16="http://schemas.microsoft.com/office/drawing/2014/main" id="{FBD94F02-64A3-4AB0-9C14-CAFED74FD487}"/>
            </a:ext>
          </a:extLst>
        </xdr:cNvPr>
        <xdr:cNvSpPr/>
      </xdr:nvSpPr>
      <xdr:spPr>
        <a:xfrm rot="10800000" flipH="1" flipV="1">
          <a:off x="6785610" y="35966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:a16="http://schemas.microsoft.com/office/drawing/2014/main" id="{F272ADB9-2D87-4D6D-956E-B53C38472A4B}"/>
            </a:ext>
          </a:extLst>
        </xdr:cNvPr>
        <xdr:cNvSpPr/>
      </xdr:nvSpPr>
      <xdr:spPr>
        <a:xfrm rot="10800000" flipH="1" flipV="1">
          <a:off x="605028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:a16="http://schemas.microsoft.com/office/drawing/2014/main" id="{130F3DC9-31A9-4728-B4BE-BDCD87614856}"/>
            </a:ext>
          </a:extLst>
        </xdr:cNvPr>
        <xdr:cNvSpPr/>
      </xdr:nvSpPr>
      <xdr:spPr>
        <a:xfrm rot="10800000" flipH="1" flipV="1">
          <a:off x="6785610" y="37585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:a16="http://schemas.microsoft.com/office/drawing/2014/main" id="{BEADEBF6-6B7F-4010-A085-44211295D225}"/>
            </a:ext>
          </a:extLst>
        </xdr:cNvPr>
        <xdr:cNvSpPr/>
      </xdr:nvSpPr>
      <xdr:spPr>
        <a:xfrm rot="10800000" flipH="1" flipV="1">
          <a:off x="605980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:a16="http://schemas.microsoft.com/office/drawing/2014/main" id="{A03A185E-60ED-4A6C-AD69-AE31448024DF}"/>
            </a:ext>
          </a:extLst>
        </xdr:cNvPr>
        <xdr:cNvSpPr/>
      </xdr:nvSpPr>
      <xdr:spPr>
        <a:xfrm rot="10800000" flipH="1" flipV="1">
          <a:off x="6795135" y="39109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:a16="http://schemas.microsoft.com/office/drawing/2014/main" id="{8ABD9471-263D-4C84-9622-68ACF3FE1114}"/>
            </a:ext>
          </a:extLst>
        </xdr:cNvPr>
        <xdr:cNvSpPr/>
      </xdr:nvSpPr>
      <xdr:spPr>
        <a:xfrm rot="10800000" flipH="1" flipV="1">
          <a:off x="604075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:a16="http://schemas.microsoft.com/office/drawing/2014/main" id="{7CDDD681-0D2C-4840-937B-12360AD7E361}"/>
            </a:ext>
          </a:extLst>
        </xdr:cNvPr>
        <xdr:cNvSpPr/>
      </xdr:nvSpPr>
      <xdr:spPr>
        <a:xfrm rot="10800000" flipH="1" flipV="1">
          <a:off x="6795135" y="4053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7620</xdr:colOff>
      <xdr:row>19</xdr:row>
      <xdr:rowOff>7620</xdr:rowOff>
    </xdr:from>
    <xdr:ext cx="1851660" cy="899160"/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4081CAD5-9E0F-428E-B119-6BEDB802459E}"/>
            </a:ext>
          </a:extLst>
        </xdr:cNvPr>
        <xdr:cNvCxnSpPr/>
      </xdr:nvCxnSpPr>
      <xdr:spPr>
        <a:xfrm>
          <a:off x="7620" y="3185160"/>
          <a:ext cx="1851660" cy="89916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0</xdr:colOff>
      <xdr:row>19</xdr:row>
      <xdr:rowOff>0</xdr:rowOff>
    </xdr:from>
    <xdr:ext cx="1859280" cy="914400"/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5B3C4F88-8AD9-4858-B8F8-B45312176B3E}"/>
            </a:ext>
          </a:extLst>
        </xdr:cNvPr>
        <xdr:cNvCxnSpPr/>
      </xdr:nvCxnSpPr>
      <xdr:spPr>
        <a:xfrm flipH="1">
          <a:off x="0" y="3177540"/>
          <a:ext cx="1859280" cy="91440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7620</xdr:colOff>
      <xdr:row>19</xdr:row>
      <xdr:rowOff>0</xdr:rowOff>
    </xdr:from>
    <xdr:ext cx="1722120" cy="914400"/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BCC7EF59-BCCA-4C55-A07D-2DFA60378B97}"/>
            </a:ext>
          </a:extLst>
        </xdr:cNvPr>
        <xdr:cNvCxnSpPr/>
      </xdr:nvCxnSpPr>
      <xdr:spPr>
        <a:xfrm>
          <a:off x="11094720" y="3177540"/>
          <a:ext cx="1722120" cy="9144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7620</xdr:colOff>
      <xdr:row>19</xdr:row>
      <xdr:rowOff>15240</xdr:rowOff>
    </xdr:from>
    <xdr:ext cx="1729740" cy="899160"/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61EA3789-6E9A-447B-A4EA-BF955ACB424E}"/>
            </a:ext>
          </a:extLst>
        </xdr:cNvPr>
        <xdr:cNvCxnSpPr/>
      </xdr:nvCxnSpPr>
      <xdr:spPr>
        <a:xfrm flipH="1">
          <a:off x="11094720" y="3192780"/>
          <a:ext cx="1729740" cy="89916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:a16="http://schemas.microsoft.com/office/drawing/2014/main" id="{FF985A71-9649-4A13-A0F5-3BE30D745CC6}"/>
            </a:ext>
          </a:extLst>
        </xdr:cNvPr>
        <xdr:cNvSpPr/>
      </xdr:nvSpPr>
      <xdr:spPr>
        <a:xfrm rot="10800000" flipH="1" flipV="1">
          <a:off x="6059805" y="25298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:a16="http://schemas.microsoft.com/office/drawing/2014/main" id="{F1FF6E80-05F2-416A-B516-0C7289B71E1E}"/>
            </a:ext>
          </a:extLst>
        </xdr:cNvPr>
        <xdr:cNvSpPr/>
      </xdr:nvSpPr>
      <xdr:spPr>
        <a:xfrm rot="10800000" flipH="1" flipV="1">
          <a:off x="678561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:a16="http://schemas.microsoft.com/office/drawing/2014/main" id="{4B1E3180-81CB-434E-A038-DCDB28747BAD}"/>
            </a:ext>
          </a:extLst>
        </xdr:cNvPr>
        <xdr:cNvSpPr/>
      </xdr:nvSpPr>
      <xdr:spPr>
        <a:xfrm rot="10800000" flipH="1" flipV="1">
          <a:off x="6040755" y="22250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:a16="http://schemas.microsoft.com/office/drawing/2014/main" id="{645CD75B-9749-4283-B5B4-E00BB674085F}"/>
            </a:ext>
          </a:extLst>
        </xdr:cNvPr>
        <xdr:cNvSpPr/>
      </xdr:nvSpPr>
      <xdr:spPr>
        <a:xfrm rot="10800000" flipH="1" flipV="1">
          <a:off x="6785610" y="17773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:a16="http://schemas.microsoft.com/office/drawing/2014/main" id="{57E1A19B-F1F6-4091-A14B-C3BE76A75DCB}"/>
            </a:ext>
          </a:extLst>
        </xdr:cNvPr>
        <xdr:cNvSpPr/>
      </xdr:nvSpPr>
      <xdr:spPr>
        <a:xfrm rot="10800000" flipH="1" flipV="1">
          <a:off x="6785610" y="192976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:a16="http://schemas.microsoft.com/office/drawing/2014/main" id="{BC6301D3-6D7E-49B1-BD24-89B441B89FD5}"/>
            </a:ext>
          </a:extLst>
        </xdr:cNvPr>
        <xdr:cNvSpPr/>
      </xdr:nvSpPr>
      <xdr:spPr>
        <a:xfrm rot="10800000" flipH="1" flipV="1">
          <a:off x="6050280" y="268224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0"/>
  <sheetViews>
    <sheetView zoomScaleNormal="100" workbookViewId="0">
      <selection activeCell="E6" sqref="E6"/>
    </sheetView>
  </sheetViews>
  <sheetFormatPr defaultColWidth="16.6640625" defaultRowHeight="15" customHeight="1"/>
  <cols>
    <col min="1" max="1" width="27.109375" customWidth="1"/>
    <col min="2" max="2" width="7.6640625" customWidth="1"/>
    <col min="3" max="3" width="5.6640625" customWidth="1"/>
    <col min="4" max="4" width="6.33203125" customWidth="1"/>
    <col min="5" max="9" width="7.6640625" customWidth="1"/>
    <col min="10" max="10" width="2.44140625" customWidth="1"/>
    <col min="11" max="11" width="3.6640625" customWidth="1"/>
    <col min="12" max="12" width="7.109375" customWidth="1"/>
    <col min="13" max="13" width="3.6640625" customWidth="1"/>
    <col min="14" max="14" width="2.44140625" customWidth="1"/>
    <col min="15" max="19" width="7.6640625" customWidth="1"/>
    <col min="20" max="21" width="5.6640625" customWidth="1"/>
    <col min="22" max="22" width="7.6640625" customWidth="1"/>
    <col min="23" max="23" width="25.44140625" customWidth="1"/>
    <col min="24" max="24" width="8.6640625" customWidth="1"/>
  </cols>
  <sheetData>
    <row r="1" spans="1:23" ht="12" customHeight="1">
      <c r="A1" s="171" t="s">
        <v>44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3"/>
    </row>
    <row r="2" spans="1:23" ht="12" customHeight="1">
      <c r="A2" s="110" t="s">
        <v>0</v>
      </c>
      <c r="B2" s="174" t="s">
        <v>66</v>
      </c>
      <c r="C2" s="150"/>
      <c r="D2" s="150"/>
      <c r="E2" s="3"/>
      <c r="F2" s="3"/>
      <c r="G2" s="4"/>
      <c r="H2" s="5"/>
      <c r="I2" s="5"/>
      <c r="J2" s="42"/>
      <c r="K2" s="5"/>
      <c r="L2" s="5"/>
      <c r="M2" s="5"/>
      <c r="N2" s="54"/>
      <c r="O2" s="5"/>
      <c r="P2" s="55" t="s">
        <v>1</v>
      </c>
      <c r="Q2" s="3" t="s">
        <v>204</v>
      </c>
      <c r="R2" s="3"/>
      <c r="S2" s="3"/>
      <c r="T2" s="3"/>
      <c r="U2" s="3"/>
      <c r="V2" s="84"/>
      <c r="W2" s="85"/>
    </row>
    <row r="3" spans="1:23" ht="12" customHeight="1">
      <c r="A3" s="109" t="s">
        <v>2</v>
      </c>
      <c r="B3" s="174" t="s">
        <v>3</v>
      </c>
      <c r="C3" s="150"/>
      <c r="D3" s="150"/>
      <c r="E3" s="3"/>
      <c r="F3" s="3"/>
      <c r="G3" s="4"/>
      <c r="H3" s="3"/>
      <c r="I3" s="3"/>
      <c r="J3" s="56"/>
      <c r="K3" s="3"/>
      <c r="L3" s="3"/>
      <c r="M3" s="3"/>
      <c r="N3" s="57"/>
      <c r="O3" s="3"/>
      <c r="P3" s="55" t="s">
        <v>4</v>
      </c>
      <c r="Q3" s="3" t="s">
        <v>45</v>
      </c>
      <c r="R3" s="3"/>
      <c r="S3" s="3"/>
      <c r="T3" s="3"/>
      <c r="U3" s="3"/>
      <c r="V3" s="3"/>
      <c r="W3" s="86"/>
    </row>
    <row r="4" spans="1:23" ht="12" customHeight="1">
      <c r="A4" s="6" t="s">
        <v>5</v>
      </c>
      <c r="B4" s="175"/>
      <c r="C4" s="138"/>
      <c r="D4" s="138"/>
      <c r="E4" s="7"/>
      <c r="F4" s="5"/>
      <c r="G4" s="8"/>
      <c r="H4" s="5"/>
      <c r="I4" s="5"/>
      <c r="J4" s="42"/>
      <c r="K4" s="5"/>
      <c r="L4" s="5"/>
      <c r="M4" s="5"/>
      <c r="N4" s="54"/>
      <c r="O4" s="5"/>
      <c r="P4" s="5" t="s">
        <v>6</v>
      </c>
      <c r="Q4" s="175" t="s">
        <v>7</v>
      </c>
      <c r="R4" s="138"/>
      <c r="S4" s="5"/>
      <c r="T4" s="5"/>
      <c r="U4" s="5"/>
      <c r="V4" s="5"/>
      <c r="W4" s="85"/>
    </row>
    <row r="5" spans="1:23" ht="12" customHeight="1">
      <c r="A5" s="9"/>
      <c r="G5" s="10"/>
      <c r="J5" s="42"/>
      <c r="N5" s="54"/>
      <c r="W5" s="87"/>
    </row>
    <row r="6" spans="1:23" ht="34.5" customHeight="1">
      <c r="A6" s="11" t="s">
        <v>8</v>
      </c>
      <c r="B6" s="12" t="s">
        <v>9</v>
      </c>
      <c r="C6" s="12" t="s">
        <v>10</v>
      </c>
      <c r="D6" s="13" t="s">
        <v>11</v>
      </c>
      <c r="E6" s="13" t="s">
        <v>12</v>
      </c>
      <c r="F6" s="13" t="s">
        <v>13</v>
      </c>
      <c r="G6" s="159" t="s">
        <v>14</v>
      </c>
      <c r="H6" s="160"/>
      <c r="I6" s="161"/>
      <c r="J6" s="162" t="s">
        <v>15</v>
      </c>
      <c r="K6" s="163"/>
      <c r="L6" s="163"/>
      <c r="M6" s="163"/>
      <c r="N6" s="164"/>
      <c r="O6" s="159" t="s">
        <v>14</v>
      </c>
      <c r="P6" s="160"/>
      <c r="Q6" s="161"/>
      <c r="R6" s="13" t="s">
        <v>13</v>
      </c>
      <c r="S6" s="13" t="s">
        <v>12</v>
      </c>
      <c r="T6" s="13" t="s">
        <v>11</v>
      </c>
      <c r="U6" s="12" t="s">
        <v>10</v>
      </c>
      <c r="V6" s="12" t="s">
        <v>9</v>
      </c>
      <c r="W6" s="88" t="s">
        <v>8</v>
      </c>
    </row>
    <row r="7" spans="1:23" ht="12" customHeight="1">
      <c r="A7" s="14"/>
      <c r="B7" s="15"/>
      <c r="C7" s="16"/>
      <c r="D7" s="16"/>
      <c r="E7" s="16"/>
      <c r="F7" s="16"/>
      <c r="G7" s="17" t="s">
        <v>16</v>
      </c>
      <c r="H7" s="18" t="s">
        <v>17</v>
      </c>
      <c r="I7" s="18" t="s">
        <v>18</v>
      </c>
      <c r="J7" s="58"/>
      <c r="K7" s="59"/>
      <c r="L7" s="60"/>
      <c r="M7" s="60"/>
      <c r="N7" s="61"/>
      <c r="O7" s="62" t="s">
        <v>16</v>
      </c>
      <c r="P7" s="18" t="s">
        <v>17</v>
      </c>
      <c r="Q7" s="89" t="s">
        <v>18</v>
      </c>
      <c r="R7" s="90"/>
      <c r="S7" s="90"/>
      <c r="T7" s="90"/>
      <c r="U7" s="90"/>
      <c r="V7" s="15"/>
      <c r="W7" s="91"/>
    </row>
    <row r="8" spans="1:23" ht="12" customHeight="1">
      <c r="A8" s="108" t="s">
        <v>21</v>
      </c>
      <c r="B8" s="27" t="s">
        <v>19</v>
      </c>
      <c r="C8" s="21">
        <v>0</v>
      </c>
      <c r="D8" s="28">
        <v>100</v>
      </c>
      <c r="E8" s="22">
        <f t="shared" ref="E8:E25" si="0">C8*D8</f>
        <v>0</v>
      </c>
      <c r="F8" s="23">
        <v>0.45</v>
      </c>
      <c r="G8" s="24">
        <f>E8*F8</f>
        <v>0</v>
      </c>
      <c r="H8" s="21"/>
      <c r="I8" s="63"/>
      <c r="J8" s="64">
        <v>1</v>
      </c>
      <c r="K8" s="65">
        <v>10</v>
      </c>
      <c r="L8" s="168"/>
      <c r="M8" s="65">
        <v>15</v>
      </c>
      <c r="N8" s="66">
        <v>13</v>
      </c>
      <c r="O8" s="24">
        <f>S8*R8</f>
        <v>810</v>
      </c>
      <c r="Q8" s="24"/>
      <c r="R8" s="23">
        <v>0.45</v>
      </c>
      <c r="S8" s="92">
        <f t="shared" ref="S8:S25" si="1">T8*U8</f>
        <v>1800</v>
      </c>
      <c r="T8" s="28">
        <v>100</v>
      </c>
      <c r="U8" s="92">
        <v>18</v>
      </c>
      <c r="V8" s="27" t="s">
        <v>97</v>
      </c>
      <c r="W8" s="103" t="s">
        <v>47</v>
      </c>
    </row>
    <row r="9" spans="1:23" ht="12" customHeight="1">
      <c r="A9" s="108" t="s">
        <v>48</v>
      </c>
      <c r="B9" s="27" t="s">
        <v>19</v>
      </c>
      <c r="C9" s="21">
        <v>1</v>
      </c>
      <c r="D9" s="28">
        <v>1000</v>
      </c>
      <c r="E9" s="22">
        <f t="shared" si="0"/>
        <v>1000</v>
      </c>
      <c r="F9" s="23">
        <v>0.45</v>
      </c>
      <c r="G9" s="25"/>
      <c r="H9" s="25">
        <f>E9*F9</f>
        <v>450</v>
      </c>
      <c r="J9" s="64">
        <v>2</v>
      </c>
      <c r="K9" s="65">
        <v>10</v>
      </c>
      <c r="L9" s="169"/>
      <c r="M9" s="65">
        <v>10</v>
      </c>
      <c r="N9" s="66">
        <v>14</v>
      </c>
      <c r="P9" s="25">
        <f>S9*R9</f>
        <v>450</v>
      </c>
      <c r="Q9" s="25"/>
      <c r="R9" s="23">
        <v>0.45</v>
      </c>
      <c r="S9" s="92">
        <f t="shared" si="1"/>
        <v>1000</v>
      </c>
      <c r="T9" s="28">
        <v>1000</v>
      </c>
      <c r="U9" s="92">
        <v>1</v>
      </c>
      <c r="V9" s="27" t="s">
        <v>19</v>
      </c>
      <c r="W9" s="103" t="s">
        <v>49</v>
      </c>
    </row>
    <row r="10" spans="1:23" ht="12" customHeight="1">
      <c r="A10" s="108" t="s">
        <v>50</v>
      </c>
      <c r="B10" s="27" t="s">
        <v>97</v>
      </c>
      <c r="C10" s="21">
        <v>12</v>
      </c>
      <c r="D10" s="28">
        <v>100</v>
      </c>
      <c r="E10" s="22">
        <f t="shared" si="0"/>
        <v>1200</v>
      </c>
      <c r="F10" s="23">
        <v>0.45</v>
      </c>
      <c r="G10" s="25"/>
      <c r="I10" s="25">
        <f>E10*F10</f>
        <v>540</v>
      </c>
      <c r="J10" s="64">
        <v>3</v>
      </c>
      <c r="K10" s="65">
        <v>15</v>
      </c>
      <c r="L10" s="169"/>
      <c r="M10" s="65">
        <v>15</v>
      </c>
      <c r="N10" s="66">
        <v>15</v>
      </c>
      <c r="O10" s="27"/>
      <c r="P10" s="25"/>
      <c r="Q10" s="25">
        <f>S10*R10</f>
        <v>585</v>
      </c>
      <c r="R10" s="23">
        <v>0.45</v>
      </c>
      <c r="S10" s="92">
        <f t="shared" si="1"/>
        <v>1300</v>
      </c>
      <c r="T10" s="28">
        <v>100</v>
      </c>
      <c r="U10" s="92">
        <v>13</v>
      </c>
      <c r="V10" s="27" t="s">
        <v>97</v>
      </c>
      <c r="W10" s="103" t="s">
        <v>51</v>
      </c>
    </row>
    <row r="11" spans="1:23" ht="12" customHeight="1">
      <c r="A11" s="108" t="s">
        <v>83</v>
      </c>
      <c r="B11" s="27" t="s">
        <v>97</v>
      </c>
      <c r="C11" s="21">
        <v>17</v>
      </c>
      <c r="D11" s="28">
        <v>100</v>
      </c>
      <c r="E11" s="22">
        <f t="shared" si="0"/>
        <v>1700</v>
      </c>
      <c r="F11" s="23">
        <v>0.45</v>
      </c>
      <c r="G11" s="25">
        <f>E11*F11</f>
        <v>765</v>
      </c>
      <c r="H11" s="25"/>
      <c r="I11" s="25"/>
      <c r="J11" s="64">
        <v>4</v>
      </c>
      <c r="K11" s="65">
        <v>15</v>
      </c>
      <c r="L11" s="169"/>
      <c r="M11" s="65">
        <v>15</v>
      </c>
      <c r="N11" s="66">
        <v>16</v>
      </c>
      <c r="O11" s="27">
        <f>S11*R11</f>
        <v>585</v>
      </c>
      <c r="Q11" s="27"/>
      <c r="R11" s="23">
        <v>0.45</v>
      </c>
      <c r="S11" s="92">
        <f>T11*U11</f>
        <v>1300</v>
      </c>
      <c r="T11" s="28">
        <v>100</v>
      </c>
      <c r="U11" s="92">
        <v>13</v>
      </c>
      <c r="V11" s="27" t="s">
        <v>97</v>
      </c>
      <c r="W11" s="103" t="s">
        <v>90</v>
      </c>
    </row>
    <row r="12" spans="1:23" ht="12" customHeight="1">
      <c r="A12" s="108" t="s">
        <v>84</v>
      </c>
      <c r="B12" s="27" t="s">
        <v>97</v>
      </c>
      <c r="C12" s="21">
        <v>9</v>
      </c>
      <c r="D12" s="28">
        <v>100</v>
      </c>
      <c r="E12" s="22">
        <f t="shared" si="0"/>
        <v>900</v>
      </c>
      <c r="F12" s="23">
        <v>0.45</v>
      </c>
      <c r="G12" s="25"/>
      <c r="H12" s="27">
        <f>E12*F12</f>
        <v>405</v>
      </c>
      <c r="J12" s="64">
        <v>5</v>
      </c>
      <c r="K12" s="65">
        <v>15</v>
      </c>
      <c r="L12" s="169"/>
      <c r="M12" s="65">
        <v>15</v>
      </c>
      <c r="N12" s="66">
        <v>17</v>
      </c>
      <c r="P12" s="27">
        <f>S12*R12</f>
        <v>990</v>
      </c>
      <c r="Q12" s="27"/>
      <c r="R12" s="23">
        <v>0.45</v>
      </c>
      <c r="S12" s="92">
        <f t="shared" si="1"/>
        <v>2200</v>
      </c>
      <c r="T12" s="28">
        <v>100</v>
      </c>
      <c r="U12" s="21">
        <v>22</v>
      </c>
      <c r="V12" s="27" t="s">
        <v>97</v>
      </c>
      <c r="W12" s="103" t="s">
        <v>91</v>
      </c>
    </row>
    <row r="13" spans="1:23" ht="12" customHeight="1">
      <c r="A13" s="108" t="s">
        <v>85</v>
      </c>
      <c r="B13" s="27" t="s">
        <v>97</v>
      </c>
      <c r="C13" s="21">
        <v>23</v>
      </c>
      <c r="D13" s="28">
        <v>100</v>
      </c>
      <c r="E13" s="22">
        <f t="shared" si="0"/>
        <v>2300</v>
      </c>
      <c r="F13" s="23">
        <v>0.45</v>
      </c>
      <c r="G13" s="25"/>
      <c r="I13" s="25">
        <f>E13*F13</f>
        <v>1035</v>
      </c>
      <c r="J13" s="64">
        <v>6</v>
      </c>
      <c r="K13" s="65">
        <v>15</v>
      </c>
      <c r="L13" s="169"/>
      <c r="M13" s="67">
        <v>15</v>
      </c>
      <c r="N13" s="66">
        <v>18</v>
      </c>
      <c r="O13" s="27"/>
      <c r="P13" s="27"/>
      <c r="Q13" s="27">
        <f>S13*R13</f>
        <v>855</v>
      </c>
      <c r="R13" s="23">
        <v>0.45</v>
      </c>
      <c r="S13" s="92">
        <f t="shared" si="1"/>
        <v>1900</v>
      </c>
      <c r="T13" s="28">
        <v>100</v>
      </c>
      <c r="U13" s="21">
        <v>19</v>
      </c>
      <c r="V13" s="27" t="s">
        <v>97</v>
      </c>
      <c r="W13" s="103" t="s">
        <v>92</v>
      </c>
    </row>
    <row r="14" spans="1:23" ht="12" customHeight="1">
      <c r="A14" s="108" t="s">
        <v>86</v>
      </c>
      <c r="B14" s="27" t="s">
        <v>19</v>
      </c>
      <c r="C14" s="21">
        <v>1</v>
      </c>
      <c r="D14" s="28">
        <v>1000</v>
      </c>
      <c r="E14" s="22">
        <f t="shared" si="0"/>
        <v>1000</v>
      </c>
      <c r="F14" s="23">
        <v>0.45</v>
      </c>
      <c r="G14" s="25">
        <f>E14*F14</f>
        <v>450</v>
      </c>
      <c r="H14" s="27"/>
      <c r="I14" s="27"/>
      <c r="J14" s="64">
        <v>7</v>
      </c>
      <c r="K14" s="65">
        <v>10</v>
      </c>
      <c r="L14" s="169"/>
      <c r="M14" s="67">
        <v>15</v>
      </c>
      <c r="N14" s="66">
        <v>19</v>
      </c>
      <c r="O14" s="27">
        <f>S14*R14</f>
        <v>630</v>
      </c>
      <c r="Q14" s="27"/>
      <c r="R14" s="23">
        <v>0.45</v>
      </c>
      <c r="S14" s="92">
        <f t="shared" si="1"/>
        <v>1400</v>
      </c>
      <c r="T14" s="28">
        <v>100</v>
      </c>
      <c r="U14" s="21">
        <v>14</v>
      </c>
      <c r="V14" s="27" t="s">
        <v>97</v>
      </c>
      <c r="W14" s="103" t="s">
        <v>93</v>
      </c>
    </row>
    <row r="15" spans="1:23" ht="12" customHeight="1">
      <c r="A15" s="108" t="s">
        <v>87</v>
      </c>
      <c r="B15" s="27" t="s">
        <v>97</v>
      </c>
      <c r="C15" s="21">
        <v>20</v>
      </c>
      <c r="D15" s="28">
        <v>100</v>
      </c>
      <c r="E15" s="22">
        <f t="shared" si="0"/>
        <v>2000</v>
      </c>
      <c r="F15" s="23">
        <v>0.45</v>
      </c>
      <c r="G15" s="25"/>
      <c r="H15" s="27">
        <f>E15*F15</f>
        <v>900</v>
      </c>
      <c r="J15" s="64">
        <v>8</v>
      </c>
      <c r="K15" s="68">
        <v>15</v>
      </c>
      <c r="L15" s="169"/>
      <c r="M15" s="67">
        <v>15</v>
      </c>
      <c r="N15" s="66">
        <v>20</v>
      </c>
      <c r="P15" s="27">
        <f>S15*R15</f>
        <v>1125</v>
      </c>
      <c r="Q15" s="27"/>
      <c r="R15" s="23">
        <v>0.45</v>
      </c>
      <c r="S15" s="92">
        <f t="shared" si="1"/>
        <v>2500</v>
      </c>
      <c r="T15" s="28">
        <v>100</v>
      </c>
      <c r="U15" s="21">
        <v>25</v>
      </c>
      <c r="V15" s="27" t="s">
        <v>97</v>
      </c>
      <c r="W15" s="103" t="s">
        <v>94</v>
      </c>
    </row>
    <row r="16" spans="1:23" ht="12" customHeight="1">
      <c r="A16" s="108" t="s">
        <v>88</v>
      </c>
      <c r="B16" s="27" t="s">
        <v>19</v>
      </c>
      <c r="C16" s="21">
        <v>1</v>
      </c>
      <c r="D16" s="28">
        <v>1000</v>
      </c>
      <c r="E16" s="22">
        <f t="shared" si="0"/>
        <v>1000</v>
      </c>
      <c r="F16" s="23">
        <v>0.45</v>
      </c>
      <c r="G16" s="25"/>
      <c r="I16" s="25">
        <f>E16*F16</f>
        <v>450</v>
      </c>
      <c r="J16" s="64">
        <v>9</v>
      </c>
      <c r="K16" s="68">
        <v>10</v>
      </c>
      <c r="L16" s="169"/>
      <c r="M16" s="67">
        <v>10</v>
      </c>
      <c r="N16" s="66">
        <v>21</v>
      </c>
      <c r="O16" s="27"/>
      <c r="P16" s="27"/>
      <c r="Q16" s="27">
        <f>R16*S16</f>
        <v>450</v>
      </c>
      <c r="R16" s="23">
        <v>0.45</v>
      </c>
      <c r="S16" s="92">
        <f t="shared" si="1"/>
        <v>1000</v>
      </c>
      <c r="T16" s="28">
        <v>1000</v>
      </c>
      <c r="U16" s="21">
        <v>1</v>
      </c>
      <c r="V16" s="27" t="s">
        <v>19</v>
      </c>
      <c r="W16" s="103" t="s">
        <v>95</v>
      </c>
    </row>
    <row r="17" spans="1:23" ht="12" customHeight="1">
      <c r="A17" s="108" t="s">
        <v>89</v>
      </c>
      <c r="B17" s="27" t="s">
        <v>97</v>
      </c>
      <c r="C17" s="21">
        <v>19</v>
      </c>
      <c r="D17" s="28">
        <v>100</v>
      </c>
      <c r="E17" s="22">
        <f t="shared" si="0"/>
        <v>1900</v>
      </c>
      <c r="F17" s="23">
        <v>0.45</v>
      </c>
      <c r="G17" s="27">
        <f>F17*E17</f>
        <v>855</v>
      </c>
      <c r="H17" s="29"/>
      <c r="I17" s="27"/>
      <c r="J17" s="64">
        <v>10</v>
      </c>
      <c r="K17" s="68">
        <v>15</v>
      </c>
      <c r="L17" s="169"/>
      <c r="M17" s="67">
        <v>15</v>
      </c>
      <c r="N17" s="66">
        <v>22</v>
      </c>
      <c r="O17" s="27">
        <f>S17*R17</f>
        <v>675</v>
      </c>
      <c r="Q17" s="27"/>
      <c r="R17" s="23">
        <v>0.45</v>
      </c>
      <c r="S17" s="92">
        <f t="shared" si="1"/>
        <v>1500</v>
      </c>
      <c r="T17" s="28">
        <v>100</v>
      </c>
      <c r="U17" s="21">
        <v>15</v>
      </c>
      <c r="V17" s="27" t="s">
        <v>97</v>
      </c>
      <c r="W17" s="103" t="s">
        <v>96</v>
      </c>
    </row>
    <row r="18" spans="1:23" ht="12" customHeight="1">
      <c r="A18" s="19" t="s">
        <v>21</v>
      </c>
      <c r="B18" s="20" t="s">
        <v>19</v>
      </c>
      <c r="C18" s="21">
        <v>0</v>
      </c>
      <c r="D18" s="28">
        <v>100</v>
      </c>
      <c r="E18" s="22">
        <f t="shared" si="0"/>
        <v>0</v>
      </c>
      <c r="F18" s="23">
        <v>0.45</v>
      </c>
      <c r="G18" s="25"/>
      <c r="H18" s="27">
        <f>E18*F18</f>
        <v>0</v>
      </c>
      <c r="J18" s="64">
        <v>11</v>
      </c>
      <c r="K18" s="68">
        <v>10</v>
      </c>
      <c r="L18" s="169"/>
      <c r="M18" s="67">
        <v>30</v>
      </c>
      <c r="N18" s="66">
        <v>23</v>
      </c>
      <c r="P18" s="27">
        <f>R18*S18</f>
        <v>0</v>
      </c>
      <c r="Q18" s="27"/>
      <c r="R18" s="93">
        <v>0.4</v>
      </c>
      <c r="S18" s="92">
        <f t="shared" si="1"/>
        <v>0</v>
      </c>
      <c r="T18" s="22">
        <v>6000</v>
      </c>
      <c r="U18" s="21">
        <v>0</v>
      </c>
      <c r="V18" s="20" t="s">
        <v>22</v>
      </c>
      <c r="W18" s="94" t="s">
        <v>21</v>
      </c>
    </row>
    <row r="19" spans="1:23" ht="12" customHeight="1">
      <c r="A19" s="19" t="s">
        <v>46</v>
      </c>
      <c r="B19" s="27" t="s">
        <v>97</v>
      </c>
      <c r="C19" s="21">
        <v>20</v>
      </c>
      <c r="D19" s="28">
        <v>100</v>
      </c>
      <c r="E19" s="22">
        <f t="shared" si="0"/>
        <v>2000</v>
      </c>
      <c r="F19" s="23">
        <v>0.45</v>
      </c>
      <c r="G19" s="25"/>
      <c r="I19" s="27">
        <f>E19*F19</f>
        <v>900</v>
      </c>
      <c r="J19" s="64">
        <v>12</v>
      </c>
      <c r="K19" s="68">
        <v>15</v>
      </c>
      <c r="L19" s="169"/>
      <c r="M19" s="68">
        <v>10</v>
      </c>
      <c r="N19" s="66">
        <v>24</v>
      </c>
      <c r="O19" s="27"/>
      <c r="P19" s="27"/>
      <c r="Q19" s="27">
        <f>R19*S19</f>
        <v>0</v>
      </c>
      <c r="R19" s="93">
        <v>0.45</v>
      </c>
      <c r="S19" s="92">
        <f t="shared" si="1"/>
        <v>0</v>
      </c>
      <c r="T19" s="22">
        <v>1000</v>
      </c>
      <c r="U19" s="92">
        <v>0</v>
      </c>
      <c r="V19" s="27" t="s">
        <v>19</v>
      </c>
      <c r="W19" s="103" t="s">
        <v>21</v>
      </c>
    </row>
    <row r="20" spans="1:23" ht="12" customHeight="1">
      <c r="A20" s="19" t="s">
        <v>21</v>
      </c>
      <c r="B20" s="20" t="s">
        <v>22</v>
      </c>
      <c r="C20" s="21">
        <v>0</v>
      </c>
      <c r="D20" s="31">
        <v>1500</v>
      </c>
      <c r="E20" s="22">
        <f t="shared" si="0"/>
        <v>0</v>
      </c>
      <c r="F20" s="30">
        <v>0.8</v>
      </c>
      <c r="G20" s="27">
        <f>E20*F20</f>
        <v>0</v>
      </c>
      <c r="H20" s="27"/>
      <c r="I20" s="27"/>
      <c r="J20" s="64"/>
      <c r="K20" s="68">
        <v>10</v>
      </c>
      <c r="L20" s="169"/>
      <c r="M20" s="68">
        <v>30</v>
      </c>
      <c r="N20" s="66"/>
      <c r="O20" s="27">
        <f>R20*S20</f>
        <v>0</v>
      </c>
      <c r="Q20" s="27"/>
      <c r="R20" s="93">
        <v>0.6</v>
      </c>
      <c r="S20" s="92">
        <f t="shared" si="1"/>
        <v>0</v>
      </c>
      <c r="T20" s="31">
        <v>3000</v>
      </c>
      <c r="U20" s="92">
        <v>0</v>
      </c>
      <c r="V20" s="27" t="s">
        <v>23</v>
      </c>
      <c r="W20" s="94" t="s">
        <v>21</v>
      </c>
    </row>
    <row r="21" spans="1:23" ht="12" customHeight="1">
      <c r="A21" s="19" t="s">
        <v>21</v>
      </c>
      <c r="B21" s="20" t="s">
        <v>22</v>
      </c>
      <c r="C21" s="21">
        <v>0</v>
      </c>
      <c r="D21" s="31">
        <v>2000</v>
      </c>
      <c r="E21" s="22">
        <f t="shared" si="0"/>
        <v>0</v>
      </c>
      <c r="F21" s="30">
        <v>0.6</v>
      </c>
      <c r="G21" s="25"/>
      <c r="H21" s="27">
        <f>E21*F21</f>
        <v>0</v>
      </c>
      <c r="J21" s="64"/>
      <c r="K21" s="68">
        <v>20</v>
      </c>
      <c r="L21" s="169"/>
      <c r="M21" s="68">
        <v>20</v>
      </c>
      <c r="N21" s="66"/>
      <c r="P21" s="27">
        <f>R21*S21</f>
        <v>0</v>
      </c>
      <c r="Q21" s="27"/>
      <c r="R21" s="93">
        <v>1</v>
      </c>
      <c r="S21" s="92">
        <f t="shared" si="1"/>
        <v>0</v>
      </c>
      <c r="T21" s="31">
        <v>400</v>
      </c>
      <c r="U21" s="92">
        <v>0</v>
      </c>
      <c r="V21" s="27" t="s">
        <v>24</v>
      </c>
      <c r="W21" s="94" t="s">
        <v>21</v>
      </c>
    </row>
    <row r="22" spans="1:23" ht="12" customHeight="1">
      <c r="A22" s="19" t="s">
        <v>21</v>
      </c>
      <c r="B22" s="20" t="s">
        <v>22</v>
      </c>
      <c r="C22" s="21">
        <v>0</v>
      </c>
      <c r="D22" s="28">
        <v>1119</v>
      </c>
      <c r="E22" s="22">
        <f t="shared" si="0"/>
        <v>0</v>
      </c>
      <c r="F22" s="23">
        <v>0.8</v>
      </c>
      <c r="G22" s="25"/>
      <c r="I22" s="27">
        <f>E22*F22</f>
        <v>0</v>
      </c>
      <c r="J22" s="64"/>
      <c r="K22" s="68">
        <v>15</v>
      </c>
      <c r="L22" s="169"/>
      <c r="M22" s="68">
        <v>20</v>
      </c>
      <c r="N22" s="66"/>
      <c r="O22" s="27"/>
      <c r="P22" s="27"/>
      <c r="Q22" s="27">
        <f>R22*S22</f>
        <v>0</v>
      </c>
      <c r="R22" s="23">
        <v>0.8</v>
      </c>
      <c r="S22" s="92">
        <f t="shared" si="1"/>
        <v>0</v>
      </c>
      <c r="T22" s="22">
        <v>1492</v>
      </c>
      <c r="U22" s="92">
        <v>0</v>
      </c>
      <c r="V22" s="27" t="s">
        <v>22</v>
      </c>
      <c r="W22" s="94" t="s">
        <v>21</v>
      </c>
    </row>
    <row r="23" spans="1:23" ht="12" customHeight="1">
      <c r="A23" s="19" t="s">
        <v>21</v>
      </c>
      <c r="B23" s="20" t="s">
        <v>22</v>
      </c>
      <c r="C23" s="21">
        <v>0</v>
      </c>
      <c r="D23" s="31">
        <v>1200</v>
      </c>
      <c r="E23" s="22">
        <f t="shared" si="0"/>
        <v>0</v>
      </c>
      <c r="F23" s="30">
        <v>1</v>
      </c>
      <c r="G23" s="27">
        <f>E23*F23</f>
        <v>0</v>
      </c>
      <c r="H23" s="27"/>
      <c r="I23" s="27"/>
      <c r="J23" s="64"/>
      <c r="K23" s="68">
        <v>20</v>
      </c>
      <c r="L23" s="169"/>
      <c r="M23" s="68">
        <v>20</v>
      </c>
      <c r="N23" s="66"/>
      <c r="O23" s="27">
        <f>R23*S23</f>
        <v>0</v>
      </c>
      <c r="Q23" s="27"/>
      <c r="R23" s="93">
        <v>1</v>
      </c>
      <c r="S23" s="92">
        <f t="shared" si="1"/>
        <v>0</v>
      </c>
      <c r="T23" s="31">
        <v>400</v>
      </c>
      <c r="U23" s="92">
        <v>0</v>
      </c>
      <c r="V23" s="75" t="s">
        <v>24</v>
      </c>
      <c r="W23" s="94" t="s">
        <v>21</v>
      </c>
    </row>
    <row r="24" spans="1:23" ht="12" customHeight="1">
      <c r="A24" s="19" t="s">
        <v>21</v>
      </c>
      <c r="B24" s="20" t="s">
        <v>22</v>
      </c>
      <c r="C24" s="21">
        <v>0</v>
      </c>
      <c r="D24" s="31">
        <v>1200</v>
      </c>
      <c r="E24" s="22">
        <f t="shared" si="0"/>
        <v>0</v>
      </c>
      <c r="F24" s="30">
        <v>1</v>
      </c>
      <c r="G24" s="25"/>
      <c r="H24" s="27">
        <f>E24*F24</f>
        <v>0</v>
      </c>
      <c r="J24" s="64"/>
      <c r="K24" s="68">
        <v>20</v>
      </c>
      <c r="L24" s="169"/>
      <c r="M24" s="68">
        <v>20</v>
      </c>
      <c r="N24" s="66"/>
      <c r="P24" s="27">
        <f>R24*S24</f>
        <v>0</v>
      </c>
      <c r="Q24" s="27"/>
      <c r="R24" s="93">
        <v>1</v>
      </c>
      <c r="S24" s="92">
        <f t="shared" si="1"/>
        <v>0</v>
      </c>
      <c r="T24" s="31">
        <v>400</v>
      </c>
      <c r="U24" s="92">
        <v>0</v>
      </c>
      <c r="V24" s="75" t="s">
        <v>24</v>
      </c>
      <c r="W24" s="94" t="s">
        <v>21</v>
      </c>
    </row>
    <row r="25" spans="1:23" ht="12" customHeight="1">
      <c r="A25" s="19" t="s">
        <v>21</v>
      </c>
      <c r="B25" s="20" t="s">
        <v>22</v>
      </c>
      <c r="C25" s="21">
        <v>0</v>
      </c>
      <c r="D25" s="31">
        <v>1200</v>
      </c>
      <c r="E25" s="22">
        <f t="shared" si="0"/>
        <v>0</v>
      </c>
      <c r="F25" s="30">
        <v>1</v>
      </c>
      <c r="G25" s="25"/>
      <c r="I25" s="27">
        <f>E25*F25</f>
        <v>0</v>
      </c>
      <c r="J25" s="64"/>
      <c r="K25" s="68">
        <v>20</v>
      </c>
      <c r="L25" s="169"/>
      <c r="M25" s="68">
        <v>20</v>
      </c>
      <c r="N25" s="66"/>
      <c r="O25" s="27"/>
      <c r="P25" s="27"/>
      <c r="Q25" s="27">
        <f>R25*S25</f>
        <v>0</v>
      </c>
      <c r="R25" s="93">
        <v>1</v>
      </c>
      <c r="S25" s="92">
        <f t="shared" si="1"/>
        <v>0</v>
      </c>
      <c r="T25" s="31">
        <v>400</v>
      </c>
      <c r="U25" s="92">
        <v>0</v>
      </c>
      <c r="V25" s="75" t="s">
        <v>24</v>
      </c>
      <c r="W25" s="94" t="s">
        <v>21</v>
      </c>
    </row>
    <row r="26" spans="1:23" ht="12" customHeight="1">
      <c r="A26" s="165" t="s">
        <v>25</v>
      </c>
      <c r="B26" s="146"/>
      <c r="C26" s="32"/>
      <c r="D26" s="32"/>
      <c r="E26" s="33">
        <f>SUM(E8:E25)</f>
        <v>15000</v>
      </c>
      <c r="F26" s="32"/>
      <c r="G26" s="34">
        <f t="shared" ref="G26:I26" si="2">SUM(G8:G25)</f>
        <v>2070</v>
      </c>
      <c r="H26" s="27">
        <f t="shared" si="2"/>
        <v>1755</v>
      </c>
      <c r="I26" s="27">
        <f t="shared" si="2"/>
        <v>2925</v>
      </c>
      <c r="J26" s="32"/>
      <c r="K26" s="69"/>
      <c r="L26" s="170"/>
      <c r="M26" s="69"/>
      <c r="N26" s="70"/>
      <c r="O26" s="25">
        <f t="shared" ref="O26:Q26" si="3">SUM(O8:O25)</f>
        <v>2700</v>
      </c>
      <c r="P26" s="34">
        <f t="shared" si="3"/>
        <v>2565</v>
      </c>
      <c r="Q26" s="25">
        <f t="shared" si="3"/>
        <v>1890</v>
      </c>
      <c r="R26" s="27"/>
      <c r="S26" s="95">
        <f>SUM(S8:S25)</f>
        <v>15900</v>
      </c>
      <c r="T26" s="95"/>
      <c r="U26" s="34"/>
      <c r="V26" s="69"/>
      <c r="W26" s="96"/>
    </row>
    <row r="27" spans="1:23" ht="12" customHeight="1">
      <c r="A27" s="35" t="s">
        <v>26</v>
      </c>
      <c r="B27" s="32"/>
      <c r="C27" s="32"/>
      <c r="D27" s="32"/>
      <c r="E27" s="32"/>
      <c r="F27" s="32"/>
      <c r="G27" s="36"/>
      <c r="H27" s="37"/>
      <c r="I27" s="37"/>
      <c r="J27" s="32"/>
      <c r="K27" s="71"/>
      <c r="L27" s="71"/>
      <c r="M27" s="71" t="s">
        <v>206</v>
      </c>
      <c r="N27" s="70"/>
      <c r="O27" s="71"/>
      <c r="P27" s="71"/>
      <c r="Q27" s="71"/>
      <c r="R27" s="37"/>
      <c r="S27" s="71"/>
      <c r="T27" s="71"/>
      <c r="U27" s="37"/>
      <c r="V27" s="71"/>
      <c r="W27" s="96"/>
    </row>
    <row r="28" spans="1:23" ht="12" customHeight="1">
      <c r="A28" s="166"/>
      <c r="B28" s="167"/>
      <c r="C28" s="38"/>
      <c r="D28" s="38"/>
      <c r="E28" s="38"/>
      <c r="F28" s="38"/>
      <c r="G28" s="39"/>
      <c r="H28" s="40"/>
      <c r="I28" s="37"/>
      <c r="J28" s="38"/>
      <c r="K28" s="72"/>
      <c r="L28" s="72"/>
      <c r="M28" s="72"/>
      <c r="N28" s="73"/>
      <c r="O28" s="72"/>
      <c r="P28" s="72"/>
      <c r="Q28" s="72"/>
      <c r="R28" s="72"/>
      <c r="S28" s="72"/>
      <c r="T28" s="72"/>
      <c r="U28" s="40"/>
      <c r="V28" s="72"/>
      <c r="W28" s="97"/>
    </row>
    <row r="29" spans="1:23" ht="12" customHeight="1">
      <c r="A29" s="41"/>
      <c r="B29" s="42"/>
      <c r="C29" s="42"/>
      <c r="D29" s="42"/>
      <c r="E29" s="42"/>
      <c r="F29" s="42"/>
      <c r="G29" s="10"/>
      <c r="J29" s="42"/>
      <c r="N29" s="54"/>
      <c r="O29" s="74"/>
      <c r="P29" s="74"/>
      <c r="Q29" s="74"/>
      <c r="V29" s="151"/>
      <c r="W29" s="152"/>
    </row>
    <row r="30" spans="1:23" ht="12" customHeight="1">
      <c r="A30" s="43" t="s">
        <v>27</v>
      </c>
      <c r="B30" s="44"/>
      <c r="C30" s="44"/>
      <c r="D30" s="44"/>
      <c r="E30" s="44"/>
      <c r="F30" s="44"/>
      <c r="G30" s="45"/>
      <c r="H30" s="44"/>
      <c r="I30" s="153" t="s">
        <v>16</v>
      </c>
      <c r="J30" s="140"/>
      <c r="K30" s="153" t="s">
        <v>17</v>
      </c>
      <c r="L30" s="140"/>
      <c r="M30" s="153" t="s">
        <v>18</v>
      </c>
      <c r="N30" s="138"/>
      <c r="O30" s="140"/>
      <c r="P30" s="75"/>
      <c r="Q30" s="20"/>
      <c r="R30" s="20"/>
      <c r="S30" s="98" t="s">
        <v>28</v>
      </c>
      <c r="T30" s="98"/>
      <c r="U30" s="98"/>
      <c r="V30" s="20"/>
      <c r="W30" s="99"/>
    </row>
    <row r="31" spans="1:23" ht="12" customHeight="1">
      <c r="A31" s="46" t="s">
        <v>201</v>
      </c>
      <c r="G31" s="47" t="s">
        <v>29</v>
      </c>
      <c r="H31" s="48"/>
      <c r="I31" s="154">
        <f>G26+O26</f>
        <v>4770</v>
      </c>
      <c r="J31" s="146"/>
      <c r="K31" s="155">
        <f>H26+P26</f>
        <v>4320</v>
      </c>
      <c r="L31" s="146"/>
      <c r="M31" s="154">
        <f>I26+Q26</f>
        <v>4815</v>
      </c>
      <c r="N31" s="150"/>
      <c r="O31" s="146"/>
      <c r="P31" s="149"/>
      <c r="Q31" s="146"/>
      <c r="R31" s="20"/>
      <c r="S31" s="156" t="s">
        <v>30</v>
      </c>
      <c r="T31" s="157"/>
      <c r="U31" s="157"/>
      <c r="V31" s="157"/>
      <c r="W31" s="158"/>
    </row>
    <row r="32" spans="1:23" ht="12" customHeight="1">
      <c r="A32" s="6"/>
      <c r="G32" s="145" t="s">
        <v>31</v>
      </c>
      <c r="H32" s="146"/>
      <c r="I32" s="76"/>
      <c r="J32" s="77"/>
      <c r="K32" s="78"/>
      <c r="L32" s="77"/>
      <c r="M32" s="78"/>
      <c r="N32" s="2"/>
      <c r="O32" s="77"/>
      <c r="P32" s="147">
        <v>500</v>
      </c>
      <c r="Q32" s="146"/>
      <c r="R32" s="20"/>
      <c r="S32" s="100"/>
      <c r="T32" s="100"/>
      <c r="U32" s="100"/>
      <c r="V32" s="101"/>
      <c r="W32" s="96"/>
    </row>
    <row r="33" spans="1:23" ht="12" customHeight="1">
      <c r="A33" s="49" t="s">
        <v>32</v>
      </c>
      <c r="G33" s="47" t="s">
        <v>33</v>
      </c>
      <c r="H33" s="48"/>
      <c r="I33" s="79"/>
      <c r="J33" s="20"/>
      <c r="K33" s="75"/>
      <c r="L33" s="20"/>
      <c r="M33" s="75"/>
      <c r="N33" s="80"/>
      <c r="O33" s="20"/>
      <c r="P33" s="148">
        <f>I31+K31+M31+P32</f>
        <v>14405</v>
      </c>
      <c r="Q33" s="146"/>
      <c r="R33" s="20" t="s">
        <v>34</v>
      </c>
      <c r="S33" s="20"/>
      <c r="T33" s="20"/>
      <c r="U33" s="20"/>
      <c r="V33" s="101"/>
      <c r="W33" s="96"/>
    </row>
    <row r="34" spans="1:23" ht="12" customHeight="1">
      <c r="A34" s="6" t="s">
        <v>205</v>
      </c>
      <c r="G34" s="47" t="s">
        <v>35</v>
      </c>
      <c r="H34" s="48"/>
      <c r="I34" s="149"/>
      <c r="J34" s="146"/>
      <c r="K34" s="149"/>
      <c r="L34" s="146"/>
      <c r="M34" s="149"/>
      <c r="N34" s="150"/>
      <c r="O34" s="146"/>
      <c r="P34" s="147">
        <v>0.8</v>
      </c>
      <c r="Q34" s="146"/>
      <c r="R34" s="20" t="s">
        <v>36</v>
      </c>
      <c r="S34" s="20"/>
      <c r="T34" s="20"/>
      <c r="U34" s="20"/>
      <c r="V34" s="101"/>
      <c r="W34" s="96"/>
    </row>
    <row r="35" spans="1:23" ht="12" customHeight="1">
      <c r="A35" s="6"/>
      <c r="G35" s="137" t="s">
        <v>37</v>
      </c>
      <c r="H35" s="138"/>
      <c r="I35" s="138"/>
      <c r="J35" s="81"/>
      <c r="K35" s="82"/>
      <c r="L35" s="81"/>
      <c r="M35" s="82"/>
      <c r="N35" s="83"/>
      <c r="O35" s="81"/>
      <c r="P35" s="139">
        <f>P33/P34</f>
        <v>18006.25</v>
      </c>
      <c r="Q35" s="140"/>
      <c r="R35" s="81" t="s">
        <v>38</v>
      </c>
      <c r="S35" s="81"/>
      <c r="T35" s="81"/>
      <c r="U35" s="81"/>
      <c r="V35" s="102"/>
      <c r="W35" s="103"/>
    </row>
    <row r="36" spans="1:23" ht="12" customHeight="1">
      <c r="A36" s="50"/>
      <c r="B36" s="51"/>
      <c r="C36" s="51"/>
      <c r="D36" s="51"/>
      <c r="E36" s="51"/>
      <c r="F36" s="51"/>
      <c r="G36" s="52" t="s">
        <v>39</v>
      </c>
      <c r="H36" s="53"/>
      <c r="I36" s="141"/>
      <c r="J36" s="142"/>
      <c r="K36" s="141"/>
      <c r="L36" s="142"/>
      <c r="M36" s="141"/>
      <c r="N36" s="143"/>
      <c r="O36" s="142"/>
      <c r="P36" s="144">
        <f>ROUNDUP(P33/575,1)</f>
        <v>25.1</v>
      </c>
      <c r="Q36" s="142"/>
      <c r="R36" s="104" t="s">
        <v>40</v>
      </c>
      <c r="S36" s="104"/>
      <c r="T36" s="104"/>
      <c r="U36" s="104"/>
      <c r="V36" s="105"/>
      <c r="W36" s="106"/>
    </row>
    <row r="37" spans="1:23" ht="12" customHeight="1">
      <c r="A37" s="9"/>
      <c r="G37" s="10"/>
      <c r="J37" s="42"/>
      <c r="N37" s="54"/>
      <c r="R37" s="29"/>
      <c r="W37" s="87"/>
    </row>
    <row r="38" spans="1:23" ht="12" customHeight="1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07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 ht="12" customHeight="1">
      <c r="G49" s="10"/>
      <c r="J49" s="42"/>
      <c r="N49" s="54"/>
      <c r="R49" s="29"/>
    </row>
    <row r="50" spans="7:18" ht="12" customHeight="1">
      <c r="G50" s="10"/>
      <c r="J50" s="42"/>
      <c r="N50" s="54"/>
      <c r="R50" s="29"/>
    </row>
    <row r="51" spans="7:18" ht="12" customHeight="1">
      <c r="G51" s="10"/>
      <c r="J51" s="42"/>
      <c r="N51" s="54"/>
      <c r="R51" s="29"/>
    </row>
    <row r="52" spans="7:18" ht="12" customHeight="1">
      <c r="G52" s="10"/>
      <c r="J52" s="42"/>
      <c r="N52" s="54"/>
      <c r="R52" s="29"/>
    </row>
    <row r="53" spans="7:18" ht="12" customHeight="1">
      <c r="G53" s="10"/>
      <c r="J53" s="42"/>
      <c r="N53" s="54"/>
      <c r="R53" s="29"/>
    </row>
    <row r="54" spans="7:18" ht="12" customHeight="1">
      <c r="G54" s="10"/>
      <c r="J54" s="42"/>
      <c r="N54" s="54"/>
      <c r="R54" s="29"/>
    </row>
    <row r="55" spans="7:18" ht="12" customHeight="1">
      <c r="G55" s="10"/>
      <c r="J55" s="42"/>
      <c r="N55" s="54"/>
      <c r="R55" s="29"/>
    </row>
    <row r="56" spans="7:18" ht="12" customHeight="1">
      <c r="G56" s="10"/>
      <c r="J56" s="42"/>
      <c r="N56" s="54"/>
      <c r="R56" s="29"/>
    </row>
    <row r="57" spans="7:18" ht="12" customHeight="1">
      <c r="G57" s="10"/>
      <c r="J57" s="42"/>
      <c r="N57" s="54"/>
      <c r="R57" s="29"/>
    </row>
    <row r="58" spans="7:18" ht="12" customHeight="1">
      <c r="G58" s="10"/>
      <c r="J58" s="42"/>
      <c r="N58" s="54"/>
      <c r="R58" s="29"/>
    </row>
    <row r="59" spans="7:18" ht="12" customHeight="1">
      <c r="G59" s="10"/>
      <c r="J59" s="42"/>
      <c r="N59" s="54"/>
      <c r="R59" s="29"/>
    </row>
    <row r="60" spans="7:18" ht="12" customHeight="1">
      <c r="G60" s="10"/>
      <c r="J60" s="42"/>
      <c r="N60" s="54"/>
      <c r="R60" s="29"/>
    </row>
    <row r="61" spans="7:18" ht="12" customHeight="1">
      <c r="G61" s="10"/>
      <c r="J61" s="42"/>
      <c r="N61" s="54"/>
      <c r="R61" s="29"/>
    </row>
    <row r="62" spans="7:18" ht="12" customHeight="1">
      <c r="G62" s="10"/>
      <c r="J62" s="42"/>
      <c r="N62" s="54"/>
      <c r="R62" s="29"/>
    </row>
    <row r="63" spans="7:18" ht="12" customHeight="1">
      <c r="G63" s="10"/>
      <c r="J63" s="42"/>
      <c r="N63" s="54"/>
      <c r="R63" s="29"/>
    </row>
    <row r="64" spans="7:18" ht="12" customHeight="1">
      <c r="G64" s="10"/>
      <c r="J64" s="42"/>
      <c r="N64" s="54"/>
      <c r="R64" s="29"/>
    </row>
    <row r="65" spans="7:18" ht="12" customHeight="1">
      <c r="G65" s="10"/>
      <c r="J65" s="42"/>
      <c r="N65" s="54"/>
      <c r="R65" s="29"/>
    </row>
    <row r="66" spans="7:18" ht="12" customHeight="1">
      <c r="G66" s="10"/>
      <c r="J66" s="42"/>
      <c r="N66" s="54"/>
      <c r="R66" s="29"/>
    </row>
    <row r="67" spans="7:18" ht="12" customHeight="1">
      <c r="G67" s="10"/>
      <c r="J67" s="42"/>
      <c r="N67" s="54"/>
      <c r="R67" s="29"/>
    </row>
    <row r="68" spans="7:18" ht="12" customHeight="1">
      <c r="G68" s="10"/>
      <c r="J68" s="42"/>
      <c r="N68" s="54"/>
      <c r="R68" s="29"/>
    </row>
    <row r="69" spans="7:18" ht="12" customHeight="1">
      <c r="G69" s="10"/>
      <c r="J69" s="42"/>
      <c r="N69" s="54"/>
      <c r="R69" s="29"/>
    </row>
    <row r="70" spans="7:18" ht="12" customHeight="1">
      <c r="G70" s="10"/>
      <c r="J70" s="42"/>
      <c r="N70" s="54"/>
      <c r="R70" s="29"/>
    </row>
    <row r="71" spans="7:18" ht="12" customHeight="1">
      <c r="G71" s="10"/>
      <c r="J71" s="42"/>
      <c r="N71" s="54"/>
      <c r="R71" s="29"/>
    </row>
    <row r="72" spans="7:18" ht="12" customHeight="1">
      <c r="G72" s="10"/>
      <c r="J72" s="42"/>
      <c r="N72" s="54"/>
      <c r="R72" s="29"/>
    </row>
    <row r="73" spans="7:18" ht="12" customHeight="1">
      <c r="G73" s="10"/>
      <c r="J73" s="42"/>
      <c r="N73" s="54"/>
      <c r="R73" s="29"/>
    </row>
    <row r="74" spans="7:18" ht="12" customHeight="1">
      <c r="G74" s="10"/>
      <c r="J74" s="42"/>
      <c r="N74" s="54"/>
      <c r="R74" s="29"/>
    </row>
    <row r="75" spans="7:18" ht="12" customHeight="1">
      <c r="G75" s="10"/>
      <c r="J75" s="42"/>
      <c r="N75" s="54"/>
      <c r="R75" s="29"/>
    </row>
    <row r="76" spans="7:18" ht="12" customHeight="1">
      <c r="G76" s="10"/>
      <c r="J76" s="42"/>
      <c r="N76" s="54"/>
      <c r="R76" s="29"/>
    </row>
    <row r="77" spans="7:18" ht="12" customHeight="1">
      <c r="G77" s="10"/>
      <c r="J77" s="42"/>
      <c r="N77" s="54"/>
      <c r="R77" s="29"/>
    </row>
    <row r="78" spans="7:18" ht="12" customHeight="1">
      <c r="G78" s="10"/>
      <c r="J78" s="42"/>
      <c r="N78" s="54"/>
      <c r="R78" s="29"/>
    </row>
    <row r="79" spans="7:18" ht="12" customHeight="1">
      <c r="G79" s="10"/>
      <c r="J79" s="42"/>
      <c r="N79" s="54"/>
      <c r="R79" s="29"/>
    </row>
    <row r="80" spans="7:18" ht="12" customHeight="1">
      <c r="G80" s="10"/>
      <c r="J80" s="42"/>
      <c r="N80" s="54"/>
      <c r="R80" s="29"/>
    </row>
    <row r="81" spans="7:18" ht="12" customHeight="1">
      <c r="G81" s="10"/>
      <c r="J81" s="42"/>
      <c r="N81" s="54"/>
      <c r="R81" s="29"/>
    </row>
    <row r="82" spans="7:18" ht="12" customHeight="1">
      <c r="G82" s="10"/>
      <c r="J82" s="42"/>
      <c r="N82" s="54"/>
      <c r="R82" s="29"/>
    </row>
    <row r="83" spans="7:18" ht="12" customHeight="1">
      <c r="G83" s="10"/>
      <c r="J83" s="42"/>
      <c r="N83" s="54"/>
      <c r="R83" s="29"/>
    </row>
    <row r="84" spans="7:18" ht="12" customHeight="1">
      <c r="G84" s="10"/>
      <c r="J84" s="42"/>
      <c r="N84" s="54"/>
      <c r="R84" s="29"/>
    </row>
    <row r="85" spans="7:18" ht="12" customHeight="1">
      <c r="G85" s="10"/>
      <c r="J85" s="42"/>
      <c r="N85" s="54"/>
      <c r="R85" s="29"/>
    </row>
    <row r="86" spans="7:18" ht="12" customHeight="1">
      <c r="G86" s="10"/>
      <c r="J86" s="42"/>
      <c r="N86" s="54"/>
      <c r="R86" s="29"/>
    </row>
    <row r="87" spans="7:18" ht="12" customHeight="1">
      <c r="G87" s="10"/>
      <c r="J87" s="42"/>
      <c r="N87" s="54"/>
      <c r="R87" s="29"/>
    </row>
    <row r="88" spans="7:18" ht="12" customHeight="1">
      <c r="G88" s="10"/>
      <c r="J88" s="42"/>
      <c r="N88" s="54"/>
      <c r="R88" s="29"/>
    </row>
    <row r="89" spans="7:18" ht="12" customHeight="1">
      <c r="G89" s="10"/>
      <c r="J89" s="42"/>
      <c r="N89" s="54"/>
      <c r="R89" s="29"/>
    </row>
    <row r="90" spans="7:18" ht="12" customHeight="1">
      <c r="G90" s="10"/>
      <c r="J90" s="42"/>
      <c r="N90" s="54"/>
      <c r="R90" s="29"/>
    </row>
    <row r="91" spans="7:18" ht="12" customHeight="1">
      <c r="G91" s="10"/>
      <c r="J91" s="42"/>
      <c r="N91" s="54"/>
      <c r="R91" s="29"/>
    </row>
    <row r="92" spans="7:18" ht="12" customHeight="1">
      <c r="G92" s="10"/>
      <c r="J92" s="42"/>
      <c r="N92" s="54"/>
      <c r="R92" s="29"/>
    </row>
    <row r="93" spans="7:18" ht="12" customHeight="1">
      <c r="G93" s="10"/>
      <c r="J93" s="42"/>
      <c r="N93" s="54"/>
      <c r="R93" s="29"/>
    </row>
    <row r="94" spans="7:18" ht="12" customHeight="1">
      <c r="G94" s="10"/>
      <c r="J94" s="42"/>
      <c r="N94" s="54"/>
      <c r="R94" s="29"/>
    </row>
    <row r="95" spans="7:18" ht="12" customHeight="1">
      <c r="G95" s="10"/>
      <c r="J95" s="42"/>
      <c r="N95" s="54"/>
      <c r="R95" s="29"/>
    </row>
    <row r="96" spans="7:18" ht="12" customHeight="1">
      <c r="G96" s="10"/>
      <c r="J96" s="42"/>
      <c r="N96" s="54"/>
      <c r="R96" s="29"/>
    </row>
    <row r="97" spans="7:18" ht="12" customHeight="1">
      <c r="G97" s="10"/>
      <c r="J97" s="42"/>
      <c r="N97" s="54"/>
      <c r="R97" s="29"/>
    </row>
    <row r="98" spans="7:18" ht="12" customHeight="1">
      <c r="G98" s="10"/>
      <c r="J98" s="42"/>
      <c r="N98" s="54"/>
      <c r="R98" s="29"/>
    </row>
    <row r="99" spans="7:18" ht="12" customHeight="1">
      <c r="G99" s="10"/>
      <c r="J99" s="42"/>
      <c r="N99" s="54"/>
      <c r="R99" s="29"/>
    </row>
    <row r="100" spans="7:18" ht="12" customHeight="1">
      <c r="G100" s="10"/>
      <c r="J100" s="42"/>
      <c r="N100" s="54"/>
      <c r="R100" s="29"/>
    </row>
  </sheetData>
  <mergeCells count="33">
    <mergeCell ref="A1:W1"/>
    <mergeCell ref="B2:D2"/>
    <mergeCell ref="B3:D3"/>
    <mergeCell ref="B4:D4"/>
    <mergeCell ref="Q4:R4"/>
    <mergeCell ref="G6:I6"/>
    <mergeCell ref="J6:N6"/>
    <mergeCell ref="O6:Q6"/>
    <mergeCell ref="A26:B26"/>
    <mergeCell ref="A28:B28"/>
    <mergeCell ref="L8:L26"/>
    <mergeCell ref="V29:W29"/>
    <mergeCell ref="I30:J30"/>
    <mergeCell ref="K30:L30"/>
    <mergeCell ref="M30:O30"/>
    <mergeCell ref="I31:J31"/>
    <mergeCell ref="K31:L31"/>
    <mergeCell ref="M31:O31"/>
    <mergeCell ref="P31:Q31"/>
    <mergeCell ref="S31:W31"/>
    <mergeCell ref="G32:H32"/>
    <mergeCell ref="P32:Q32"/>
    <mergeCell ref="P33:Q33"/>
    <mergeCell ref="I34:J34"/>
    <mergeCell ref="K34:L34"/>
    <mergeCell ref="M34:O34"/>
    <mergeCell ref="P34:Q34"/>
    <mergeCell ref="G35:I35"/>
    <mergeCell ref="P35:Q35"/>
    <mergeCell ref="I36:J36"/>
    <mergeCell ref="K36:L36"/>
    <mergeCell ref="M36:O36"/>
    <mergeCell ref="P36:Q36"/>
  </mergeCells>
  <phoneticPr fontId="14" type="noConversion"/>
  <pageMargins left="0.74803149606299202" right="0.74803149606299202" top="0.98425196850393704" bottom="0.98425196850393704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12D3-15D4-462A-8CBC-B544708BD546}">
  <sheetPr>
    <pageSetUpPr fitToPage="1"/>
  </sheetPr>
  <dimension ref="A1:W100"/>
  <sheetViews>
    <sheetView zoomScaleNormal="100" workbookViewId="0">
      <selection activeCell="D10" sqref="D10"/>
    </sheetView>
  </sheetViews>
  <sheetFormatPr defaultColWidth="16.6640625" defaultRowHeight="15" customHeight="1"/>
  <cols>
    <col min="1" max="1" width="27.109375" customWidth="1"/>
    <col min="2" max="2" width="7.6640625" customWidth="1"/>
    <col min="3" max="3" width="5.6640625" customWidth="1"/>
    <col min="4" max="4" width="6.33203125" customWidth="1"/>
    <col min="5" max="9" width="7.6640625" customWidth="1"/>
    <col min="10" max="10" width="2.44140625" customWidth="1"/>
    <col min="11" max="11" width="3.6640625" customWidth="1"/>
    <col min="12" max="12" width="7.109375" customWidth="1"/>
    <col min="13" max="13" width="3.6640625" customWidth="1"/>
    <col min="14" max="14" width="2.44140625" customWidth="1"/>
    <col min="15" max="19" width="7.6640625" customWidth="1"/>
    <col min="20" max="21" width="5.6640625" customWidth="1"/>
    <col min="22" max="22" width="7.6640625" customWidth="1"/>
    <col min="23" max="23" width="25.44140625" customWidth="1"/>
    <col min="24" max="24" width="8.6640625" customWidth="1"/>
  </cols>
  <sheetData>
    <row r="1" spans="1:23" ht="12" customHeight="1">
      <c r="A1" s="171" t="s">
        <v>52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3"/>
    </row>
    <row r="2" spans="1:23" ht="12" customHeight="1">
      <c r="A2" s="110" t="s">
        <v>0</v>
      </c>
      <c r="B2" s="174" t="s">
        <v>66</v>
      </c>
      <c r="C2" s="150"/>
      <c r="D2" s="150"/>
      <c r="E2" s="3"/>
      <c r="F2" s="3"/>
      <c r="G2" s="4"/>
      <c r="H2" s="5"/>
      <c r="I2" s="5"/>
      <c r="J2" s="42"/>
      <c r="K2" s="5"/>
      <c r="L2" s="5"/>
      <c r="M2" s="5"/>
      <c r="N2" s="54"/>
      <c r="O2" s="5"/>
      <c r="P2" s="55" t="s">
        <v>1</v>
      </c>
      <c r="Q2" s="3" t="s">
        <v>207</v>
      </c>
      <c r="R2" s="3"/>
      <c r="S2" s="3"/>
      <c r="T2" s="3"/>
      <c r="U2" s="3"/>
      <c r="V2" s="84"/>
      <c r="W2" s="85"/>
    </row>
    <row r="3" spans="1:23" ht="12" customHeight="1">
      <c r="A3" s="109" t="s">
        <v>2</v>
      </c>
      <c r="B3" s="174" t="s">
        <v>3</v>
      </c>
      <c r="C3" s="150"/>
      <c r="D3" s="150"/>
      <c r="E3" s="3"/>
      <c r="F3" s="3"/>
      <c r="G3" s="4"/>
      <c r="H3" s="3"/>
      <c r="I3" s="3"/>
      <c r="J3" s="56"/>
      <c r="K3" s="3"/>
      <c r="L3" s="3"/>
      <c r="M3" s="3"/>
      <c r="N3" s="57"/>
      <c r="O3" s="3"/>
      <c r="P3" s="55" t="s">
        <v>4</v>
      </c>
      <c r="Q3" s="3" t="s">
        <v>53</v>
      </c>
      <c r="R3" s="3"/>
      <c r="S3" s="3"/>
      <c r="T3" s="3"/>
      <c r="U3" s="3"/>
      <c r="V3" s="3"/>
      <c r="W3" s="86"/>
    </row>
    <row r="4" spans="1:23" ht="12" customHeight="1">
      <c r="A4" s="6" t="s">
        <v>5</v>
      </c>
      <c r="B4" s="175"/>
      <c r="C4" s="138"/>
      <c r="D4" s="138"/>
      <c r="E4" s="7"/>
      <c r="F4" s="5"/>
      <c r="G4" s="8"/>
      <c r="H4" s="5"/>
      <c r="I4" s="5"/>
      <c r="J4" s="42"/>
      <c r="K4" s="5"/>
      <c r="L4" s="5"/>
      <c r="M4" s="5"/>
      <c r="N4" s="54"/>
      <c r="O4" s="5"/>
      <c r="P4" s="5" t="s">
        <v>6</v>
      </c>
      <c r="Q4" s="175" t="s">
        <v>7</v>
      </c>
      <c r="R4" s="138"/>
      <c r="S4" s="5"/>
      <c r="T4" s="5"/>
      <c r="U4" s="5"/>
      <c r="V4" s="5"/>
      <c r="W4" s="85"/>
    </row>
    <row r="5" spans="1:23" ht="12" customHeight="1">
      <c r="A5" s="9"/>
      <c r="G5" s="10"/>
      <c r="J5" s="42"/>
      <c r="N5" s="54"/>
      <c r="W5" s="87"/>
    </row>
    <row r="6" spans="1:23" ht="34.5" customHeight="1" thickBot="1">
      <c r="A6" s="11" t="s">
        <v>8</v>
      </c>
      <c r="B6" s="12" t="s">
        <v>9</v>
      </c>
      <c r="C6" s="12" t="s">
        <v>10</v>
      </c>
      <c r="D6" s="13" t="s">
        <v>11</v>
      </c>
      <c r="E6" s="13" t="s">
        <v>12</v>
      </c>
      <c r="F6" s="13" t="s">
        <v>13</v>
      </c>
      <c r="G6" s="159" t="s">
        <v>14</v>
      </c>
      <c r="H6" s="160"/>
      <c r="I6" s="161"/>
      <c r="J6" s="162" t="s">
        <v>15</v>
      </c>
      <c r="K6" s="163"/>
      <c r="L6" s="163"/>
      <c r="M6" s="163"/>
      <c r="N6" s="164"/>
      <c r="O6" s="159" t="s">
        <v>14</v>
      </c>
      <c r="P6" s="160"/>
      <c r="Q6" s="161"/>
      <c r="R6" s="13" t="s">
        <v>13</v>
      </c>
      <c r="S6" s="13" t="s">
        <v>12</v>
      </c>
      <c r="T6" s="13" t="s">
        <v>11</v>
      </c>
      <c r="U6" s="12" t="s">
        <v>10</v>
      </c>
      <c r="V6" s="12" t="s">
        <v>9</v>
      </c>
      <c r="W6" s="88" t="s">
        <v>8</v>
      </c>
    </row>
    <row r="7" spans="1:23" ht="12" customHeight="1" thickTop="1">
      <c r="A7" s="14"/>
      <c r="B7" s="15"/>
      <c r="C7" s="16"/>
      <c r="D7" s="16"/>
      <c r="E7" s="16"/>
      <c r="F7" s="16"/>
      <c r="G7" s="17" t="s">
        <v>16</v>
      </c>
      <c r="H7" s="18" t="s">
        <v>17</v>
      </c>
      <c r="I7" s="18" t="s">
        <v>18</v>
      </c>
      <c r="J7" s="58"/>
      <c r="K7" s="59"/>
      <c r="L7" s="60"/>
      <c r="M7" s="60"/>
      <c r="N7" s="61"/>
      <c r="O7" s="62" t="s">
        <v>16</v>
      </c>
      <c r="P7" s="18" t="s">
        <v>17</v>
      </c>
      <c r="Q7" s="89" t="s">
        <v>18</v>
      </c>
      <c r="R7" s="90"/>
      <c r="S7" s="90"/>
      <c r="T7" s="90"/>
      <c r="U7" s="90"/>
      <c r="V7" s="15"/>
      <c r="W7" s="91"/>
    </row>
    <row r="8" spans="1:23" ht="12" customHeight="1">
      <c r="A8" s="108" t="s">
        <v>98</v>
      </c>
      <c r="B8" s="27" t="s">
        <v>20</v>
      </c>
      <c r="C8" s="21">
        <v>8</v>
      </c>
      <c r="D8" s="28">
        <v>250</v>
      </c>
      <c r="E8" s="22">
        <f t="shared" ref="E8:E25" si="0">C8*D8</f>
        <v>2000</v>
      </c>
      <c r="F8" s="23">
        <v>0.5</v>
      </c>
      <c r="G8" s="24">
        <f>E8*F8</f>
        <v>1000</v>
      </c>
      <c r="H8" s="21"/>
      <c r="I8" s="63"/>
      <c r="J8" s="64">
        <v>1</v>
      </c>
      <c r="K8" s="65">
        <v>30</v>
      </c>
      <c r="L8" s="168"/>
      <c r="M8" s="65">
        <v>30</v>
      </c>
      <c r="N8" s="66">
        <v>10</v>
      </c>
      <c r="O8" s="24">
        <f>S8*R8</f>
        <v>875</v>
      </c>
      <c r="Q8" s="24"/>
      <c r="R8" s="23">
        <v>0.5</v>
      </c>
      <c r="S8" s="92">
        <f t="shared" ref="S8:S25" si="1">T8*U8</f>
        <v>1750</v>
      </c>
      <c r="T8" s="28">
        <v>250</v>
      </c>
      <c r="U8" s="92">
        <v>7</v>
      </c>
      <c r="V8" s="27" t="s">
        <v>20</v>
      </c>
      <c r="W8" s="103" t="s">
        <v>106</v>
      </c>
    </row>
    <row r="9" spans="1:23" ht="12" customHeight="1">
      <c r="A9" s="108" t="s">
        <v>99</v>
      </c>
      <c r="B9" s="27" t="s">
        <v>20</v>
      </c>
      <c r="C9" s="21">
        <v>8</v>
      </c>
      <c r="D9" s="28">
        <v>250</v>
      </c>
      <c r="E9" s="22">
        <f t="shared" si="0"/>
        <v>2000</v>
      </c>
      <c r="F9" s="23">
        <v>0.5</v>
      </c>
      <c r="G9" s="25"/>
      <c r="H9" s="25">
        <f>E9*F9</f>
        <v>1000</v>
      </c>
      <c r="J9" s="64">
        <v>2</v>
      </c>
      <c r="K9" s="65">
        <v>30</v>
      </c>
      <c r="L9" s="169"/>
      <c r="M9" s="65">
        <v>30</v>
      </c>
      <c r="N9" s="66">
        <v>11</v>
      </c>
      <c r="P9" s="25">
        <f>S9*R9</f>
        <v>1250</v>
      </c>
      <c r="Q9" s="25"/>
      <c r="R9" s="23">
        <v>0.5</v>
      </c>
      <c r="S9" s="92">
        <f t="shared" si="1"/>
        <v>2500</v>
      </c>
      <c r="T9" s="28">
        <v>250</v>
      </c>
      <c r="U9" s="92">
        <v>10</v>
      </c>
      <c r="V9" s="27" t="s">
        <v>20</v>
      </c>
      <c r="W9" s="103" t="s">
        <v>105</v>
      </c>
    </row>
    <row r="10" spans="1:23" ht="12" customHeight="1">
      <c r="A10" s="108" t="s">
        <v>100</v>
      </c>
      <c r="B10" s="27" t="s">
        <v>20</v>
      </c>
      <c r="C10" s="21">
        <v>7</v>
      </c>
      <c r="D10" s="28">
        <v>250</v>
      </c>
      <c r="E10" s="22">
        <f t="shared" si="0"/>
        <v>1750</v>
      </c>
      <c r="F10" s="23">
        <v>0.5</v>
      </c>
      <c r="G10" s="25"/>
      <c r="I10" s="25">
        <f>E10*F10</f>
        <v>875</v>
      </c>
      <c r="J10" s="64">
        <v>3</v>
      </c>
      <c r="K10" s="65">
        <v>30</v>
      </c>
      <c r="L10" s="169"/>
      <c r="M10" s="65">
        <v>30</v>
      </c>
      <c r="N10" s="66">
        <v>12</v>
      </c>
      <c r="O10" s="27"/>
      <c r="P10" s="25"/>
      <c r="Q10" s="25">
        <f>S10*R10</f>
        <v>625</v>
      </c>
      <c r="R10" s="23">
        <v>0.5</v>
      </c>
      <c r="S10" s="92">
        <f t="shared" si="1"/>
        <v>1250</v>
      </c>
      <c r="T10" s="28">
        <v>250</v>
      </c>
      <c r="U10" s="92">
        <v>5</v>
      </c>
      <c r="V10" s="27" t="s">
        <v>20</v>
      </c>
      <c r="W10" s="103" t="s">
        <v>104</v>
      </c>
    </row>
    <row r="11" spans="1:23" ht="12" customHeight="1">
      <c r="A11" s="108" t="s">
        <v>101</v>
      </c>
      <c r="B11" s="27" t="s">
        <v>20</v>
      </c>
      <c r="C11" s="21">
        <v>7</v>
      </c>
      <c r="D11" s="28">
        <v>250</v>
      </c>
      <c r="E11" s="22">
        <f t="shared" si="0"/>
        <v>1750</v>
      </c>
      <c r="F11" s="23">
        <v>0.5</v>
      </c>
      <c r="G11" s="25">
        <f>E11*F11</f>
        <v>875</v>
      </c>
      <c r="H11" s="25"/>
      <c r="I11" s="25"/>
      <c r="J11" s="64">
        <v>4</v>
      </c>
      <c r="K11" s="65">
        <v>30</v>
      </c>
      <c r="L11" s="169"/>
      <c r="M11" s="65">
        <v>30</v>
      </c>
      <c r="N11" s="66">
        <v>13</v>
      </c>
      <c r="O11" s="27">
        <f>S11*R11</f>
        <v>625</v>
      </c>
      <c r="Q11" s="27"/>
      <c r="R11" s="23">
        <v>0.5</v>
      </c>
      <c r="S11" s="92">
        <f>T11*U11</f>
        <v>1250</v>
      </c>
      <c r="T11" s="28">
        <v>250</v>
      </c>
      <c r="U11" s="92">
        <v>5</v>
      </c>
      <c r="V11" s="27" t="s">
        <v>20</v>
      </c>
      <c r="W11" s="103" t="s">
        <v>107</v>
      </c>
    </row>
    <row r="12" spans="1:23" ht="12" customHeight="1">
      <c r="A12" s="108" t="s">
        <v>102</v>
      </c>
      <c r="B12" s="27" t="s">
        <v>20</v>
      </c>
      <c r="C12" s="21">
        <v>9</v>
      </c>
      <c r="D12" s="28">
        <v>250</v>
      </c>
      <c r="E12" s="22">
        <f t="shared" si="0"/>
        <v>2250</v>
      </c>
      <c r="F12" s="23">
        <v>0.5</v>
      </c>
      <c r="G12" s="25"/>
      <c r="H12" s="27">
        <f>E12*F12</f>
        <v>1125</v>
      </c>
      <c r="J12" s="64">
        <v>5</v>
      </c>
      <c r="K12" s="65">
        <v>30</v>
      </c>
      <c r="L12" s="169"/>
      <c r="M12" s="65">
        <v>30</v>
      </c>
      <c r="N12" s="66">
        <v>14</v>
      </c>
      <c r="P12" s="27">
        <f>S12*R12</f>
        <v>625</v>
      </c>
      <c r="Q12" s="27"/>
      <c r="R12" s="23">
        <v>0.5</v>
      </c>
      <c r="S12" s="92">
        <f t="shared" si="1"/>
        <v>1250</v>
      </c>
      <c r="T12" s="28">
        <v>250</v>
      </c>
      <c r="U12" s="21">
        <v>5</v>
      </c>
      <c r="V12" s="27" t="s">
        <v>20</v>
      </c>
      <c r="W12" s="103" t="s">
        <v>108</v>
      </c>
    </row>
    <row r="13" spans="1:23" ht="12" customHeight="1">
      <c r="A13" s="108" t="s">
        <v>103</v>
      </c>
      <c r="B13" s="27" t="s">
        <v>20</v>
      </c>
      <c r="C13" s="21">
        <v>12</v>
      </c>
      <c r="D13" s="28">
        <v>250</v>
      </c>
      <c r="E13" s="22">
        <f t="shared" si="0"/>
        <v>3000</v>
      </c>
      <c r="F13" s="23">
        <v>0.5</v>
      </c>
      <c r="G13" s="25"/>
      <c r="I13" s="25">
        <f>E13*F13</f>
        <v>1500</v>
      </c>
      <c r="J13" s="64">
        <v>6</v>
      </c>
      <c r="K13" s="65">
        <v>30</v>
      </c>
      <c r="L13" s="169"/>
      <c r="M13" s="67">
        <v>30</v>
      </c>
      <c r="N13" s="66">
        <v>15</v>
      </c>
      <c r="O13" s="27"/>
      <c r="P13" s="27"/>
      <c r="Q13" s="27">
        <f>S13*R13</f>
        <v>1000</v>
      </c>
      <c r="R13" s="23">
        <v>0.5</v>
      </c>
      <c r="S13" s="92">
        <f t="shared" si="1"/>
        <v>2000</v>
      </c>
      <c r="T13" s="28">
        <v>250</v>
      </c>
      <c r="U13" s="21">
        <v>8</v>
      </c>
      <c r="V13" s="27" t="s">
        <v>20</v>
      </c>
      <c r="W13" s="103" t="s">
        <v>109</v>
      </c>
    </row>
    <row r="14" spans="1:23" ht="12" customHeight="1">
      <c r="A14" s="108" t="s">
        <v>21</v>
      </c>
      <c r="B14" s="27" t="s">
        <v>20</v>
      </c>
      <c r="C14" s="21">
        <v>0</v>
      </c>
      <c r="D14" s="28">
        <v>250</v>
      </c>
      <c r="E14" s="22">
        <f t="shared" si="0"/>
        <v>0</v>
      </c>
      <c r="F14" s="23">
        <v>0.5</v>
      </c>
      <c r="G14" s="25">
        <f>E14*F14</f>
        <v>0</v>
      </c>
      <c r="H14" s="27"/>
      <c r="I14" s="27"/>
      <c r="J14" s="64">
        <v>7</v>
      </c>
      <c r="K14" s="65">
        <v>30</v>
      </c>
      <c r="L14" s="169"/>
      <c r="M14" s="67">
        <v>30</v>
      </c>
      <c r="N14" s="66">
        <v>16</v>
      </c>
      <c r="O14" s="27">
        <f>S14*R14</f>
        <v>0</v>
      </c>
      <c r="Q14" s="27"/>
      <c r="R14" s="23">
        <v>0.5</v>
      </c>
      <c r="S14" s="92">
        <f t="shared" si="1"/>
        <v>0</v>
      </c>
      <c r="T14" s="28">
        <v>250</v>
      </c>
      <c r="U14" s="21">
        <v>0</v>
      </c>
      <c r="V14" s="27" t="s">
        <v>20</v>
      </c>
      <c r="W14" s="103" t="s">
        <v>21</v>
      </c>
    </row>
    <row r="15" spans="1:23" ht="12" customHeight="1">
      <c r="A15" s="108" t="s">
        <v>21</v>
      </c>
      <c r="B15" s="27" t="s">
        <v>20</v>
      </c>
      <c r="C15" s="21">
        <v>0</v>
      </c>
      <c r="D15" s="28">
        <v>250</v>
      </c>
      <c r="E15" s="22">
        <f t="shared" si="0"/>
        <v>0</v>
      </c>
      <c r="F15" s="23">
        <v>0.5</v>
      </c>
      <c r="G15" s="25"/>
      <c r="H15" s="27">
        <f>E15*F15</f>
        <v>0</v>
      </c>
      <c r="J15" s="64">
        <v>8</v>
      </c>
      <c r="K15" s="68">
        <v>30</v>
      </c>
      <c r="L15" s="169"/>
      <c r="M15" s="67">
        <v>30</v>
      </c>
      <c r="N15" s="66">
        <v>17</v>
      </c>
      <c r="P15" s="27">
        <f>S15*R15</f>
        <v>0</v>
      </c>
      <c r="Q15" s="27"/>
      <c r="R15" s="23">
        <v>0.5</v>
      </c>
      <c r="S15" s="92">
        <f t="shared" si="1"/>
        <v>0</v>
      </c>
      <c r="T15" s="28">
        <v>250</v>
      </c>
      <c r="U15" s="21">
        <v>0</v>
      </c>
      <c r="V15" s="27" t="s">
        <v>20</v>
      </c>
      <c r="W15" s="103" t="s">
        <v>21</v>
      </c>
    </row>
    <row r="16" spans="1:23" ht="12" customHeight="1">
      <c r="A16" s="108" t="s">
        <v>21</v>
      </c>
      <c r="B16" s="27" t="s">
        <v>20</v>
      </c>
      <c r="C16" s="21">
        <v>0</v>
      </c>
      <c r="D16" s="28">
        <v>250</v>
      </c>
      <c r="E16" s="22">
        <f t="shared" si="0"/>
        <v>0</v>
      </c>
      <c r="F16" s="23">
        <v>0.5</v>
      </c>
      <c r="G16" s="25"/>
      <c r="I16" s="25">
        <f>E16*F16</f>
        <v>0</v>
      </c>
      <c r="J16" s="64">
        <v>9</v>
      </c>
      <c r="K16" s="68">
        <v>30</v>
      </c>
      <c r="L16" s="169"/>
      <c r="M16" s="67">
        <v>30</v>
      </c>
      <c r="N16" s="66">
        <v>18</v>
      </c>
      <c r="O16" s="27"/>
      <c r="P16" s="27"/>
      <c r="Q16" s="27">
        <f>R16*S16</f>
        <v>0</v>
      </c>
      <c r="R16" s="23">
        <v>0.5</v>
      </c>
      <c r="S16" s="92">
        <f t="shared" si="1"/>
        <v>0</v>
      </c>
      <c r="T16" s="28">
        <v>250</v>
      </c>
      <c r="U16" s="21">
        <v>0</v>
      </c>
      <c r="V16" s="27" t="s">
        <v>20</v>
      </c>
      <c r="W16" s="103" t="s">
        <v>21</v>
      </c>
    </row>
    <row r="17" spans="1:23" ht="12" customHeight="1">
      <c r="A17" s="108" t="s">
        <v>21</v>
      </c>
      <c r="B17" s="27" t="s">
        <v>97</v>
      </c>
      <c r="C17" s="21">
        <v>0</v>
      </c>
      <c r="D17" s="28">
        <v>100</v>
      </c>
      <c r="E17" s="22">
        <f t="shared" si="0"/>
        <v>0</v>
      </c>
      <c r="F17" s="23">
        <v>0.45</v>
      </c>
      <c r="G17" s="27">
        <f>F17*E17</f>
        <v>0</v>
      </c>
      <c r="H17" s="29"/>
      <c r="I17" s="27"/>
      <c r="J17" s="64"/>
      <c r="K17" s="68">
        <v>10</v>
      </c>
      <c r="L17" s="169"/>
      <c r="M17" s="67">
        <v>30</v>
      </c>
      <c r="N17" s="66"/>
      <c r="O17" s="27">
        <f>S17*R17</f>
        <v>0</v>
      </c>
      <c r="Q17" s="27"/>
      <c r="R17" s="23">
        <v>0.45</v>
      </c>
      <c r="S17" s="92">
        <f t="shared" si="1"/>
        <v>0</v>
      </c>
      <c r="T17" s="28">
        <v>100</v>
      </c>
      <c r="U17" s="21">
        <v>0</v>
      </c>
      <c r="V17" s="27" t="s">
        <v>97</v>
      </c>
      <c r="W17" s="103" t="s">
        <v>21</v>
      </c>
    </row>
    <row r="18" spans="1:23" ht="12" customHeight="1">
      <c r="A18" s="19" t="s">
        <v>21</v>
      </c>
      <c r="B18" s="20" t="s">
        <v>19</v>
      </c>
      <c r="C18" s="21">
        <v>0</v>
      </c>
      <c r="D18" s="28">
        <v>100</v>
      </c>
      <c r="E18" s="22">
        <f t="shared" si="0"/>
        <v>0</v>
      </c>
      <c r="F18" s="23">
        <v>0.45</v>
      </c>
      <c r="G18" s="25"/>
      <c r="H18" s="27">
        <f>E18*F18</f>
        <v>0</v>
      </c>
      <c r="J18" s="64"/>
      <c r="K18" s="68">
        <v>10</v>
      </c>
      <c r="L18" s="169"/>
      <c r="M18" s="67">
        <v>30</v>
      </c>
      <c r="N18" s="66"/>
      <c r="P18" s="27">
        <f>R18*S18</f>
        <v>0</v>
      </c>
      <c r="Q18" s="27"/>
      <c r="R18" s="93">
        <v>0.4</v>
      </c>
      <c r="S18" s="92">
        <f t="shared" si="1"/>
        <v>0</v>
      </c>
      <c r="T18" s="22">
        <v>6000</v>
      </c>
      <c r="U18" s="21">
        <v>0</v>
      </c>
      <c r="V18" s="20" t="s">
        <v>22</v>
      </c>
      <c r="W18" s="94" t="s">
        <v>21</v>
      </c>
    </row>
    <row r="19" spans="1:23" ht="12" customHeight="1">
      <c r="A19" s="19" t="s">
        <v>21</v>
      </c>
      <c r="B19" s="27" t="s">
        <v>97</v>
      </c>
      <c r="C19" s="21">
        <v>0</v>
      </c>
      <c r="D19" s="28">
        <v>100</v>
      </c>
      <c r="E19" s="22">
        <f t="shared" si="0"/>
        <v>0</v>
      </c>
      <c r="F19" s="23">
        <v>0.45</v>
      </c>
      <c r="G19" s="25"/>
      <c r="I19" s="27">
        <f>E19*F19</f>
        <v>0</v>
      </c>
      <c r="J19" s="64"/>
      <c r="K19" s="68">
        <v>10</v>
      </c>
      <c r="L19" s="169"/>
      <c r="M19" s="68">
        <v>10</v>
      </c>
      <c r="N19" s="66"/>
      <c r="O19" s="27"/>
      <c r="P19" s="27"/>
      <c r="Q19" s="27">
        <f>R19*S19</f>
        <v>0</v>
      </c>
      <c r="R19" s="93">
        <v>0.45</v>
      </c>
      <c r="S19" s="92">
        <f t="shared" si="1"/>
        <v>0</v>
      </c>
      <c r="T19" s="22">
        <v>1000</v>
      </c>
      <c r="U19" s="92">
        <v>0</v>
      </c>
      <c r="V19" s="27" t="s">
        <v>19</v>
      </c>
      <c r="W19" s="103" t="s">
        <v>21</v>
      </c>
    </row>
    <row r="20" spans="1:23" ht="12" customHeight="1">
      <c r="A20" s="19" t="s">
        <v>21</v>
      </c>
      <c r="B20" s="20" t="s">
        <v>22</v>
      </c>
      <c r="C20" s="21">
        <v>0</v>
      </c>
      <c r="D20" s="31">
        <v>1500</v>
      </c>
      <c r="E20" s="22">
        <f t="shared" si="0"/>
        <v>0</v>
      </c>
      <c r="F20" s="30">
        <v>0.8</v>
      </c>
      <c r="G20" s="27">
        <f>E20*F20</f>
        <v>0</v>
      </c>
      <c r="H20" s="27"/>
      <c r="I20" s="27"/>
      <c r="J20" s="64"/>
      <c r="K20" s="68">
        <v>10</v>
      </c>
      <c r="L20" s="169"/>
      <c r="M20" s="68">
        <v>30</v>
      </c>
      <c r="N20" s="66"/>
      <c r="O20" s="27">
        <f>R20*S20</f>
        <v>0</v>
      </c>
      <c r="Q20" s="27"/>
      <c r="R20" s="93">
        <v>0.6</v>
      </c>
      <c r="S20" s="92">
        <f t="shared" si="1"/>
        <v>0</v>
      </c>
      <c r="T20" s="31">
        <v>3000</v>
      </c>
      <c r="U20" s="92">
        <v>0</v>
      </c>
      <c r="V20" s="27" t="s">
        <v>23</v>
      </c>
      <c r="W20" s="94" t="s">
        <v>21</v>
      </c>
    </row>
    <row r="21" spans="1:23" ht="12" customHeight="1">
      <c r="A21" s="19" t="s">
        <v>21</v>
      </c>
      <c r="B21" s="20" t="s">
        <v>22</v>
      </c>
      <c r="C21" s="21">
        <v>0</v>
      </c>
      <c r="D21" s="31">
        <v>2000</v>
      </c>
      <c r="E21" s="22">
        <f t="shared" si="0"/>
        <v>0</v>
      </c>
      <c r="F21" s="30">
        <v>0.6</v>
      </c>
      <c r="G21" s="25"/>
      <c r="H21" s="27">
        <f>E21*F21</f>
        <v>0</v>
      </c>
      <c r="J21" s="64"/>
      <c r="K21" s="68">
        <v>20</v>
      </c>
      <c r="L21" s="169"/>
      <c r="M21" s="68">
        <v>20</v>
      </c>
      <c r="N21" s="66"/>
      <c r="P21" s="27">
        <f>R21*S21</f>
        <v>0</v>
      </c>
      <c r="Q21" s="27"/>
      <c r="R21" s="93">
        <v>1</v>
      </c>
      <c r="S21" s="92">
        <f t="shared" si="1"/>
        <v>0</v>
      </c>
      <c r="T21" s="31">
        <v>400</v>
      </c>
      <c r="U21" s="92">
        <v>0</v>
      </c>
      <c r="V21" s="27" t="s">
        <v>24</v>
      </c>
      <c r="W21" s="94" t="s">
        <v>21</v>
      </c>
    </row>
    <row r="22" spans="1:23" ht="12" customHeight="1">
      <c r="A22" s="19" t="s">
        <v>21</v>
      </c>
      <c r="B22" s="20" t="s">
        <v>22</v>
      </c>
      <c r="C22" s="21">
        <v>0</v>
      </c>
      <c r="D22" s="28">
        <v>1119</v>
      </c>
      <c r="E22" s="22">
        <f t="shared" si="0"/>
        <v>0</v>
      </c>
      <c r="F22" s="23">
        <v>0.8</v>
      </c>
      <c r="G22" s="25"/>
      <c r="I22" s="27">
        <f>E22*F22</f>
        <v>0</v>
      </c>
      <c r="J22" s="64"/>
      <c r="K22" s="68">
        <v>15</v>
      </c>
      <c r="L22" s="169"/>
      <c r="M22" s="68">
        <v>20</v>
      </c>
      <c r="N22" s="66"/>
      <c r="O22" s="27"/>
      <c r="P22" s="27"/>
      <c r="Q22" s="27">
        <f>R22*S22</f>
        <v>0</v>
      </c>
      <c r="R22" s="23">
        <v>0.8</v>
      </c>
      <c r="S22" s="92">
        <f t="shared" si="1"/>
        <v>0</v>
      </c>
      <c r="T22" s="22">
        <v>1492</v>
      </c>
      <c r="U22" s="92">
        <v>0</v>
      </c>
      <c r="V22" s="27" t="s">
        <v>22</v>
      </c>
      <c r="W22" s="94" t="s">
        <v>21</v>
      </c>
    </row>
    <row r="23" spans="1:23" ht="12" customHeight="1">
      <c r="A23" s="19" t="s">
        <v>21</v>
      </c>
      <c r="B23" s="20" t="s">
        <v>22</v>
      </c>
      <c r="C23" s="21">
        <v>0</v>
      </c>
      <c r="D23" s="31">
        <v>1200</v>
      </c>
      <c r="E23" s="22">
        <f t="shared" si="0"/>
        <v>0</v>
      </c>
      <c r="F23" s="30">
        <v>1</v>
      </c>
      <c r="G23" s="27">
        <f>E23*F23</f>
        <v>0</v>
      </c>
      <c r="H23" s="27"/>
      <c r="I23" s="27"/>
      <c r="J23" s="64"/>
      <c r="K23" s="68">
        <v>20</v>
      </c>
      <c r="L23" s="169"/>
      <c r="M23" s="68">
        <v>20</v>
      </c>
      <c r="N23" s="66"/>
      <c r="O23" s="27">
        <f>R23*S23</f>
        <v>0</v>
      </c>
      <c r="Q23" s="27"/>
      <c r="R23" s="93">
        <v>1</v>
      </c>
      <c r="S23" s="92">
        <f t="shared" si="1"/>
        <v>0</v>
      </c>
      <c r="T23" s="31">
        <v>400</v>
      </c>
      <c r="U23" s="92">
        <v>0</v>
      </c>
      <c r="V23" s="75" t="s">
        <v>24</v>
      </c>
      <c r="W23" s="94" t="s">
        <v>21</v>
      </c>
    </row>
    <row r="24" spans="1:23" ht="12" customHeight="1">
      <c r="A24" s="19" t="s">
        <v>21</v>
      </c>
      <c r="B24" s="20" t="s">
        <v>22</v>
      </c>
      <c r="C24" s="21">
        <v>0</v>
      </c>
      <c r="D24" s="31">
        <v>1200</v>
      </c>
      <c r="E24" s="22">
        <f t="shared" si="0"/>
        <v>0</v>
      </c>
      <c r="F24" s="30">
        <v>1</v>
      </c>
      <c r="G24" s="25"/>
      <c r="H24" s="27">
        <f>E24*F24</f>
        <v>0</v>
      </c>
      <c r="J24" s="64"/>
      <c r="K24" s="68">
        <v>20</v>
      </c>
      <c r="L24" s="169"/>
      <c r="M24" s="68">
        <v>20</v>
      </c>
      <c r="N24" s="66"/>
      <c r="P24" s="27">
        <f>R24*S24</f>
        <v>0</v>
      </c>
      <c r="Q24" s="27"/>
      <c r="R24" s="93">
        <v>1</v>
      </c>
      <c r="S24" s="92">
        <f t="shared" si="1"/>
        <v>0</v>
      </c>
      <c r="T24" s="31">
        <v>400</v>
      </c>
      <c r="U24" s="92">
        <v>0</v>
      </c>
      <c r="V24" s="75" t="s">
        <v>24</v>
      </c>
      <c r="W24" s="94" t="s">
        <v>21</v>
      </c>
    </row>
    <row r="25" spans="1:23" ht="12" customHeight="1">
      <c r="A25" s="19" t="s">
        <v>21</v>
      </c>
      <c r="B25" s="20" t="s">
        <v>22</v>
      </c>
      <c r="C25" s="21">
        <v>0</v>
      </c>
      <c r="D25" s="31">
        <v>1200</v>
      </c>
      <c r="E25" s="22">
        <f t="shared" si="0"/>
        <v>0</v>
      </c>
      <c r="F25" s="30">
        <v>1</v>
      </c>
      <c r="G25" s="25"/>
      <c r="I25" s="27">
        <f>E25*F25</f>
        <v>0</v>
      </c>
      <c r="J25" s="64"/>
      <c r="K25" s="68">
        <v>20</v>
      </c>
      <c r="L25" s="169"/>
      <c r="M25" s="68">
        <v>20</v>
      </c>
      <c r="N25" s="66"/>
      <c r="O25" s="27"/>
      <c r="P25" s="27"/>
      <c r="Q25" s="27">
        <f>R25*S25</f>
        <v>0</v>
      </c>
      <c r="R25" s="93">
        <v>1</v>
      </c>
      <c r="S25" s="92">
        <f t="shared" si="1"/>
        <v>0</v>
      </c>
      <c r="T25" s="31">
        <v>400</v>
      </c>
      <c r="U25" s="92">
        <v>0</v>
      </c>
      <c r="V25" s="75" t="s">
        <v>24</v>
      </c>
      <c r="W25" s="94" t="s">
        <v>21</v>
      </c>
    </row>
    <row r="26" spans="1:23" ht="12" customHeight="1">
      <c r="A26" s="165" t="s">
        <v>25</v>
      </c>
      <c r="B26" s="146"/>
      <c r="C26" s="32"/>
      <c r="D26" s="32"/>
      <c r="E26" s="33">
        <f>SUM(E8:E25)</f>
        <v>12750</v>
      </c>
      <c r="F26" s="32"/>
      <c r="G26" s="34">
        <f t="shared" ref="G26:I26" si="2">SUM(G8:G25)</f>
        <v>1875</v>
      </c>
      <c r="H26" s="27">
        <f t="shared" si="2"/>
        <v>2125</v>
      </c>
      <c r="I26" s="27">
        <f t="shared" si="2"/>
        <v>2375</v>
      </c>
      <c r="J26" s="32"/>
      <c r="K26" s="69"/>
      <c r="L26" s="170"/>
      <c r="M26" s="69"/>
      <c r="N26" s="70"/>
      <c r="O26" s="25">
        <f t="shared" ref="O26:Q26" si="3">SUM(O8:O25)</f>
        <v>1500</v>
      </c>
      <c r="P26" s="34">
        <f t="shared" si="3"/>
        <v>1875</v>
      </c>
      <c r="Q26" s="25">
        <f t="shared" si="3"/>
        <v>1625</v>
      </c>
      <c r="R26" s="27"/>
      <c r="S26" s="95">
        <f>SUM(S8:S25)</f>
        <v>10000</v>
      </c>
      <c r="T26" s="95"/>
      <c r="U26" s="34"/>
      <c r="V26" s="69"/>
      <c r="W26" s="96"/>
    </row>
    <row r="27" spans="1:23" ht="12" customHeight="1">
      <c r="A27" s="35" t="s">
        <v>26</v>
      </c>
      <c r="B27" s="32"/>
      <c r="C27" s="32"/>
      <c r="D27" s="32"/>
      <c r="E27" s="32"/>
      <c r="F27" s="32"/>
      <c r="G27" s="36"/>
      <c r="H27" s="37"/>
      <c r="I27" s="37"/>
      <c r="J27" s="32"/>
      <c r="K27" s="71"/>
      <c r="L27" s="71"/>
      <c r="M27" s="71" t="s">
        <v>206</v>
      </c>
      <c r="N27" s="70"/>
      <c r="O27" s="71"/>
      <c r="P27" s="71"/>
      <c r="Q27" s="71"/>
      <c r="R27" s="37"/>
      <c r="S27" s="71"/>
      <c r="T27" s="71"/>
      <c r="U27" s="37"/>
      <c r="V27" s="71"/>
      <c r="W27" s="96"/>
    </row>
    <row r="28" spans="1:23" ht="12" customHeight="1" thickBot="1">
      <c r="A28" s="166"/>
      <c r="B28" s="167"/>
      <c r="C28" s="38"/>
      <c r="D28" s="38"/>
      <c r="E28" s="38"/>
      <c r="F28" s="38"/>
      <c r="G28" s="39"/>
      <c r="H28" s="40"/>
      <c r="I28" s="37"/>
      <c r="J28" s="38"/>
      <c r="K28" s="72"/>
      <c r="L28" s="72"/>
      <c r="M28" s="72"/>
      <c r="N28" s="73"/>
      <c r="O28" s="72"/>
      <c r="P28" s="72"/>
      <c r="Q28" s="72"/>
      <c r="R28" s="72"/>
      <c r="S28" s="72"/>
      <c r="T28" s="72"/>
      <c r="U28" s="40"/>
      <c r="V28" s="72"/>
      <c r="W28" s="97"/>
    </row>
    <row r="29" spans="1:23" ht="12" customHeight="1" thickTop="1">
      <c r="A29" s="41"/>
      <c r="B29" s="42"/>
      <c r="C29" s="42"/>
      <c r="D29" s="42"/>
      <c r="E29" s="42"/>
      <c r="F29" s="42"/>
      <c r="G29" s="10"/>
      <c r="J29" s="42"/>
      <c r="N29" s="54"/>
      <c r="O29" s="74"/>
      <c r="P29" s="74"/>
      <c r="Q29" s="74"/>
      <c r="V29" s="151"/>
      <c r="W29" s="152"/>
    </row>
    <row r="30" spans="1:23" ht="12" customHeight="1">
      <c r="A30" s="43" t="s">
        <v>27</v>
      </c>
      <c r="B30" s="44"/>
      <c r="C30" s="44"/>
      <c r="D30" s="44"/>
      <c r="E30" s="44"/>
      <c r="F30" s="44"/>
      <c r="G30" s="45"/>
      <c r="H30" s="44"/>
      <c r="I30" s="153" t="s">
        <v>16</v>
      </c>
      <c r="J30" s="140"/>
      <c r="K30" s="153" t="s">
        <v>17</v>
      </c>
      <c r="L30" s="140"/>
      <c r="M30" s="153" t="s">
        <v>18</v>
      </c>
      <c r="N30" s="138"/>
      <c r="O30" s="140"/>
      <c r="P30" s="75"/>
      <c r="Q30" s="20"/>
      <c r="R30" s="20"/>
      <c r="S30" s="98" t="s">
        <v>28</v>
      </c>
      <c r="T30" s="98"/>
      <c r="U30" s="98"/>
      <c r="V30" s="20"/>
      <c r="W30" s="99"/>
    </row>
    <row r="31" spans="1:23" ht="12" customHeight="1">
      <c r="A31" s="46" t="s">
        <v>201</v>
      </c>
      <c r="G31" s="47" t="s">
        <v>29</v>
      </c>
      <c r="H31" s="48"/>
      <c r="I31" s="154">
        <f>G26+O26</f>
        <v>3375</v>
      </c>
      <c r="J31" s="146"/>
      <c r="K31" s="155">
        <f>H26+P26</f>
        <v>4000</v>
      </c>
      <c r="L31" s="146"/>
      <c r="M31" s="154">
        <f>I26+Q26</f>
        <v>4000</v>
      </c>
      <c r="N31" s="150"/>
      <c r="O31" s="146"/>
      <c r="P31" s="149"/>
      <c r="Q31" s="146"/>
      <c r="R31" s="20"/>
      <c r="S31" s="156" t="s">
        <v>30</v>
      </c>
      <c r="T31" s="157"/>
      <c r="U31" s="157"/>
      <c r="V31" s="157"/>
      <c r="W31" s="158"/>
    </row>
    <row r="32" spans="1:23" ht="12" customHeight="1">
      <c r="A32" s="6"/>
      <c r="G32" s="145" t="s">
        <v>31</v>
      </c>
      <c r="H32" s="146"/>
      <c r="I32" s="76"/>
      <c r="J32" s="77"/>
      <c r="K32" s="78"/>
      <c r="L32" s="77"/>
      <c r="M32" s="78"/>
      <c r="N32" s="2"/>
      <c r="O32" s="77"/>
      <c r="P32" s="147">
        <v>500</v>
      </c>
      <c r="Q32" s="146"/>
      <c r="R32" s="20"/>
      <c r="S32" s="100"/>
      <c r="T32" s="100"/>
      <c r="U32" s="100"/>
      <c r="V32" s="101"/>
      <c r="W32" s="96"/>
    </row>
    <row r="33" spans="1:23" ht="12" customHeight="1">
      <c r="A33" s="49" t="s">
        <v>32</v>
      </c>
      <c r="G33" s="47" t="s">
        <v>33</v>
      </c>
      <c r="H33" s="48"/>
      <c r="I33" s="79"/>
      <c r="J33" s="20"/>
      <c r="K33" s="75"/>
      <c r="L33" s="20"/>
      <c r="M33" s="75"/>
      <c r="N33" s="80"/>
      <c r="O33" s="20"/>
      <c r="P33" s="148">
        <f>I31+K31+M31+P32</f>
        <v>11875</v>
      </c>
      <c r="Q33" s="146"/>
      <c r="R33" s="20" t="s">
        <v>34</v>
      </c>
      <c r="S33" s="20"/>
      <c r="T33" s="20"/>
      <c r="U33" s="20"/>
      <c r="V33" s="101"/>
      <c r="W33" s="96"/>
    </row>
    <row r="34" spans="1:23" ht="12" customHeight="1">
      <c r="A34" s="6" t="s">
        <v>205</v>
      </c>
      <c r="G34" s="47" t="s">
        <v>35</v>
      </c>
      <c r="H34" s="48"/>
      <c r="I34" s="149"/>
      <c r="J34" s="146"/>
      <c r="K34" s="149"/>
      <c r="L34" s="146"/>
      <c r="M34" s="149"/>
      <c r="N34" s="150"/>
      <c r="O34" s="146"/>
      <c r="P34" s="147">
        <v>0.8</v>
      </c>
      <c r="Q34" s="146"/>
      <c r="R34" s="20" t="s">
        <v>36</v>
      </c>
      <c r="S34" s="20"/>
      <c r="T34" s="20"/>
      <c r="U34" s="20"/>
      <c r="V34" s="101"/>
      <c r="W34" s="96"/>
    </row>
    <row r="35" spans="1:23" ht="12" customHeight="1">
      <c r="A35" s="6"/>
      <c r="G35" s="137" t="s">
        <v>37</v>
      </c>
      <c r="H35" s="138"/>
      <c r="I35" s="138"/>
      <c r="J35" s="81"/>
      <c r="K35" s="82"/>
      <c r="L35" s="81"/>
      <c r="M35" s="82"/>
      <c r="N35" s="83"/>
      <c r="O35" s="81"/>
      <c r="P35" s="139">
        <f>P33/P34</f>
        <v>14843.75</v>
      </c>
      <c r="Q35" s="140"/>
      <c r="R35" s="81" t="s">
        <v>38</v>
      </c>
      <c r="S35" s="81"/>
      <c r="T35" s="81"/>
      <c r="U35" s="81"/>
      <c r="V35" s="102"/>
      <c r="W35" s="103"/>
    </row>
    <row r="36" spans="1:23" ht="12" customHeight="1" thickBot="1">
      <c r="A36" s="50"/>
      <c r="B36" s="51"/>
      <c r="C36" s="51"/>
      <c r="D36" s="51"/>
      <c r="E36" s="51"/>
      <c r="F36" s="51"/>
      <c r="G36" s="52" t="s">
        <v>39</v>
      </c>
      <c r="H36" s="53"/>
      <c r="I36" s="141"/>
      <c r="J36" s="142"/>
      <c r="K36" s="141"/>
      <c r="L36" s="142"/>
      <c r="M36" s="141"/>
      <c r="N36" s="143"/>
      <c r="O36" s="142"/>
      <c r="P36" s="144">
        <f>ROUNDUP(P33/575,1)</f>
        <v>20.700000000000003</v>
      </c>
      <c r="Q36" s="142"/>
      <c r="R36" s="104" t="s">
        <v>40</v>
      </c>
      <c r="S36" s="104"/>
      <c r="T36" s="104"/>
      <c r="U36" s="104"/>
      <c r="V36" s="105"/>
      <c r="W36" s="106"/>
    </row>
    <row r="37" spans="1:23" ht="12" customHeight="1">
      <c r="A37" s="9"/>
      <c r="G37" s="10"/>
      <c r="J37" s="42"/>
      <c r="N37" s="54"/>
      <c r="R37" s="29"/>
      <c r="W37" s="87"/>
    </row>
    <row r="38" spans="1:23" ht="12" customHeight="1" thickBot="1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07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 ht="12" customHeight="1">
      <c r="G49" s="10"/>
      <c r="J49" s="42"/>
      <c r="N49" s="54"/>
      <c r="R49" s="29"/>
    </row>
    <row r="50" spans="7:18" ht="12" customHeight="1">
      <c r="G50" s="10"/>
      <c r="J50" s="42"/>
      <c r="N50" s="54"/>
      <c r="R50" s="29"/>
    </row>
    <row r="51" spans="7:18" ht="12" customHeight="1">
      <c r="G51" s="10"/>
      <c r="J51" s="42"/>
      <c r="N51" s="54"/>
      <c r="R51" s="29"/>
    </row>
    <row r="52" spans="7:18" ht="12" customHeight="1">
      <c r="G52" s="10"/>
      <c r="J52" s="42"/>
      <c r="N52" s="54"/>
      <c r="R52" s="29"/>
    </row>
    <row r="53" spans="7:18" ht="12" customHeight="1">
      <c r="G53" s="10"/>
      <c r="J53" s="42"/>
      <c r="N53" s="54"/>
      <c r="R53" s="29"/>
    </row>
    <row r="54" spans="7:18" ht="12" customHeight="1">
      <c r="G54" s="10"/>
      <c r="J54" s="42"/>
      <c r="N54" s="54"/>
      <c r="R54" s="29"/>
    </row>
    <row r="55" spans="7:18" ht="12" customHeight="1">
      <c r="G55" s="10"/>
      <c r="J55" s="42"/>
      <c r="N55" s="54"/>
      <c r="R55" s="29"/>
    </row>
    <row r="56" spans="7:18" ht="12" customHeight="1">
      <c r="G56" s="10"/>
      <c r="J56" s="42"/>
      <c r="N56" s="54"/>
      <c r="R56" s="29"/>
    </row>
    <row r="57" spans="7:18" ht="12" customHeight="1">
      <c r="G57" s="10"/>
      <c r="J57" s="42"/>
      <c r="N57" s="54"/>
      <c r="R57" s="29"/>
    </row>
    <row r="58" spans="7:18" ht="12" customHeight="1">
      <c r="G58" s="10"/>
      <c r="J58" s="42"/>
      <c r="N58" s="54"/>
      <c r="R58" s="29"/>
    </row>
    <row r="59" spans="7:18" ht="12" customHeight="1">
      <c r="G59" s="10"/>
      <c r="J59" s="42"/>
      <c r="N59" s="54"/>
      <c r="R59" s="29"/>
    </row>
    <row r="60" spans="7:18" ht="12" customHeight="1">
      <c r="G60" s="10"/>
      <c r="J60" s="42"/>
      <c r="N60" s="54"/>
      <c r="R60" s="29"/>
    </row>
    <row r="61" spans="7:18" ht="12" customHeight="1">
      <c r="G61" s="10"/>
      <c r="J61" s="42"/>
      <c r="N61" s="54"/>
      <c r="R61" s="29"/>
    </row>
    <row r="62" spans="7:18" ht="12" customHeight="1">
      <c r="G62" s="10"/>
      <c r="J62" s="42"/>
      <c r="N62" s="54"/>
      <c r="R62" s="29"/>
    </row>
    <row r="63" spans="7:18" ht="12" customHeight="1">
      <c r="G63" s="10"/>
      <c r="J63" s="42"/>
      <c r="N63" s="54"/>
      <c r="R63" s="29"/>
    </row>
    <row r="64" spans="7:18" ht="12" customHeight="1">
      <c r="G64" s="10"/>
      <c r="J64" s="42"/>
      <c r="N64" s="54"/>
      <c r="R64" s="29"/>
    </row>
    <row r="65" spans="7:18" ht="12" customHeight="1">
      <c r="G65" s="10"/>
      <c r="J65" s="42"/>
      <c r="N65" s="54"/>
      <c r="R65" s="29"/>
    </row>
    <row r="66" spans="7:18" ht="12" customHeight="1">
      <c r="G66" s="10"/>
      <c r="J66" s="42"/>
      <c r="N66" s="54"/>
      <c r="R66" s="29"/>
    </row>
    <row r="67" spans="7:18" ht="12" customHeight="1">
      <c r="G67" s="10"/>
      <c r="J67" s="42"/>
      <c r="N67" s="54"/>
      <c r="R67" s="29"/>
    </row>
    <row r="68" spans="7:18" ht="12" customHeight="1">
      <c r="G68" s="10"/>
      <c r="J68" s="42"/>
      <c r="N68" s="54"/>
      <c r="R68" s="29"/>
    </row>
    <row r="69" spans="7:18" ht="12" customHeight="1">
      <c r="G69" s="10"/>
      <c r="J69" s="42"/>
      <c r="N69" s="54"/>
      <c r="R69" s="29"/>
    </row>
    <row r="70" spans="7:18" ht="12" customHeight="1">
      <c r="G70" s="10"/>
      <c r="J70" s="42"/>
      <c r="N70" s="54"/>
      <c r="R70" s="29"/>
    </row>
    <row r="71" spans="7:18" ht="12" customHeight="1">
      <c r="G71" s="10"/>
      <c r="J71" s="42"/>
      <c r="N71" s="54"/>
      <c r="R71" s="29"/>
    </row>
    <row r="72" spans="7:18" ht="12" customHeight="1">
      <c r="G72" s="10"/>
      <c r="J72" s="42"/>
      <c r="N72" s="54"/>
      <c r="R72" s="29"/>
    </row>
    <row r="73" spans="7:18" ht="12" customHeight="1">
      <c r="G73" s="10"/>
      <c r="J73" s="42"/>
      <c r="N73" s="54"/>
      <c r="R73" s="29"/>
    </row>
    <row r="74" spans="7:18" ht="12" customHeight="1">
      <c r="G74" s="10"/>
      <c r="J74" s="42"/>
      <c r="N74" s="54"/>
      <c r="R74" s="29"/>
    </row>
    <row r="75" spans="7:18" ht="12" customHeight="1">
      <c r="G75" s="10"/>
      <c r="J75" s="42"/>
      <c r="N75" s="54"/>
      <c r="R75" s="29"/>
    </row>
    <row r="76" spans="7:18" ht="12" customHeight="1">
      <c r="G76" s="10"/>
      <c r="J76" s="42"/>
      <c r="N76" s="54"/>
      <c r="R76" s="29"/>
    </row>
    <row r="77" spans="7:18" ht="12" customHeight="1">
      <c r="G77" s="10"/>
      <c r="J77" s="42"/>
      <c r="N77" s="54"/>
      <c r="R77" s="29"/>
    </row>
    <row r="78" spans="7:18" ht="12" customHeight="1">
      <c r="G78" s="10"/>
      <c r="J78" s="42"/>
      <c r="N78" s="54"/>
      <c r="R78" s="29"/>
    </row>
    <row r="79" spans="7:18" ht="12" customHeight="1">
      <c r="G79" s="10"/>
      <c r="J79" s="42"/>
      <c r="N79" s="54"/>
      <c r="R79" s="29"/>
    </row>
    <row r="80" spans="7:18" ht="12" customHeight="1">
      <c r="G80" s="10"/>
      <c r="J80" s="42"/>
      <c r="N80" s="54"/>
      <c r="R80" s="29"/>
    </row>
    <row r="81" spans="7:18" ht="12" customHeight="1">
      <c r="G81" s="10"/>
      <c r="J81" s="42"/>
      <c r="N81" s="54"/>
      <c r="R81" s="29"/>
    </row>
    <row r="82" spans="7:18" ht="12" customHeight="1">
      <c r="G82" s="10"/>
      <c r="J82" s="42"/>
      <c r="N82" s="54"/>
      <c r="R82" s="29"/>
    </row>
    <row r="83" spans="7:18" ht="12" customHeight="1">
      <c r="G83" s="10"/>
      <c r="J83" s="42"/>
      <c r="N83" s="54"/>
      <c r="R83" s="29"/>
    </row>
    <row r="84" spans="7:18" ht="12" customHeight="1">
      <c r="G84" s="10"/>
      <c r="J84" s="42"/>
      <c r="N84" s="54"/>
      <c r="R84" s="29"/>
    </row>
    <row r="85" spans="7:18" ht="12" customHeight="1">
      <c r="G85" s="10"/>
      <c r="J85" s="42"/>
      <c r="N85" s="54"/>
      <c r="R85" s="29"/>
    </row>
    <row r="86" spans="7:18" ht="12" customHeight="1">
      <c r="G86" s="10"/>
      <c r="J86" s="42"/>
      <c r="N86" s="54"/>
      <c r="R86" s="29"/>
    </row>
    <row r="87" spans="7:18" ht="12" customHeight="1">
      <c r="G87" s="10"/>
      <c r="J87" s="42"/>
      <c r="N87" s="54"/>
      <c r="R87" s="29"/>
    </row>
    <row r="88" spans="7:18" ht="12" customHeight="1">
      <c r="G88" s="10"/>
      <c r="J88" s="42"/>
      <c r="N88" s="54"/>
      <c r="R88" s="29"/>
    </row>
    <row r="89" spans="7:18" ht="12" customHeight="1">
      <c r="G89" s="10"/>
      <c r="J89" s="42"/>
      <c r="N89" s="54"/>
      <c r="R89" s="29"/>
    </row>
    <row r="90" spans="7:18" ht="12" customHeight="1">
      <c r="G90" s="10"/>
      <c r="J90" s="42"/>
      <c r="N90" s="54"/>
      <c r="R90" s="29"/>
    </row>
    <row r="91" spans="7:18" ht="12" customHeight="1">
      <c r="G91" s="10"/>
      <c r="J91" s="42"/>
      <c r="N91" s="54"/>
      <c r="R91" s="29"/>
    </row>
    <row r="92" spans="7:18" ht="12" customHeight="1">
      <c r="G92" s="10"/>
      <c r="J92" s="42"/>
      <c r="N92" s="54"/>
      <c r="R92" s="29"/>
    </row>
    <row r="93" spans="7:18" ht="12" customHeight="1">
      <c r="G93" s="10"/>
      <c r="J93" s="42"/>
      <c r="N93" s="54"/>
      <c r="R93" s="29"/>
    </row>
    <row r="94" spans="7:18" ht="12" customHeight="1">
      <c r="G94" s="10"/>
      <c r="J94" s="42"/>
      <c r="N94" s="54"/>
      <c r="R94" s="29"/>
    </row>
    <row r="95" spans="7:18" ht="12" customHeight="1">
      <c r="G95" s="10"/>
      <c r="J95" s="42"/>
      <c r="N95" s="54"/>
      <c r="R95" s="29"/>
    </row>
    <row r="96" spans="7:18" ht="12" customHeight="1">
      <c r="G96" s="10"/>
      <c r="J96" s="42"/>
      <c r="N96" s="54"/>
      <c r="R96" s="29"/>
    </row>
    <row r="97" spans="7:18" ht="12" customHeight="1">
      <c r="G97" s="10"/>
      <c r="J97" s="42"/>
      <c r="N97" s="54"/>
      <c r="R97" s="29"/>
    </row>
    <row r="98" spans="7:18" ht="12" customHeight="1">
      <c r="G98" s="10"/>
      <c r="J98" s="42"/>
      <c r="N98" s="54"/>
      <c r="R98" s="29"/>
    </row>
    <row r="99" spans="7:18" ht="12" customHeight="1">
      <c r="G99" s="10"/>
      <c r="J99" s="42"/>
      <c r="N99" s="54"/>
      <c r="R99" s="29"/>
    </row>
    <row r="100" spans="7:18" ht="12" customHeight="1">
      <c r="G100" s="10"/>
      <c r="J100" s="42"/>
      <c r="N100" s="54"/>
      <c r="R100" s="29"/>
    </row>
  </sheetData>
  <mergeCells count="33">
    <mergeCell ref="M31:O31"/>
    <mergeCell ref="P31:Q31"/>
    <mergeCell ref="I31:J31"/>
    <mergeCell ref="K31:L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G32:H32"/>
    <mergeCell ref="P32:Q32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L8:L26"/>
    <mergeCell ref="A26:B26"/>
    <mergeCell ref="A28:B28"/>
  </mergeCells>
  <phoneticPr fontId="14" type="noConversion"/>
  <pageMargins left="0.74803149606299202" right="0.74803149606299202" top="0.98425196850393704" bottom="0.98425196850393704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00"/>
  <sheetViews>
    <sheetView tabSelected="1" zoomScaleNormal="100" workbookViewId="0">
      <selection activeCell="W20" sqref="W20"/>
    </sheetView>
  </sheetViews>
  <sheetFormatPr defaultColWidth="16.6640625" defaultRowHeight="15" customHeight="1"/>
  <cols>
    <col min="1" max="1" width="27.109375" customWidth="1"/>
    <col min="2" max="2" width="7.6640625" customWidth="1"/>
    <col min="3" max="3" width="5.6640625" customWidth="1"/>
    <col min="4" max="4" width="6.33203125" customWidth="1"/>
    <col min="5" max="9" width="7.6640625" customWidth="1"/>
    <col min="10" max="10" width="2.44140625" customWidth="1"/>
    <col min="11" max="11" width="3.6640625" customWidth="1"/>
    <col min="12" max="12" width="6.6640625" customWidth="1"/>
    <col min="13" max="13" width="3.6640625" customWidth="1"/>
    <col min="14" max="14" width="2.44140625" customWidth="1"/>
    <col min="15" max="19" width="7.6640625" customWidth="1"/>
    <col min="20" max="21" width="5.6640625" customWidth="1"/>
    <col min="22" max="22" width="7.6640625" customWidth="1"/>
    <col min="23" max="23" width="25.44140625" customWidth="1"/>
    <col min="24" max="24" width="8.6640625" customWidth="1"/>
  </cols>
  <sheetData>
    <row r="1" spans="1:23" ht="12" customHeight="1">
      <c r="A1" s="171" t="s">
        <v>110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3"/>
    </row>
    <row r="2" spans="1:23" ht="12" customHeight="1">
      <c r="A2" s="1" t="s">
        <v>0</v>
      </c>
      <c r="B2" s="176" t="s">
        <v>66</v>
      </c>
      <c r="C2" s="150"/>
      <c r="D2" s="150"/>
      <c r="E2" s="3"/>
      <c r="F2" s="3"/>
      <c r="G2" s="4"/>
      <c r="H2" s="5"/>
      <c r="I2" s="5"/>
      <c r="J2" s="42"/>
      <c r="K2" s="5"/>
      <c r="L2" s="5"/>
      <c r="M2" s="5"/>
      <c r="N2" s="54"/>
      <c r="O2" s="5"/>
      <c r="P2" s="55" t="s">
        <v>1</v>
      </c>
      <c r="Q2" s="3" t="s">
        <v>204</v>
      </c>
      <c r="R2" s="3"/>
      <c r="S2" s="3"/>
      <c r="T2" s="3"/>
      <c r="U2" s="3"/>
      <c r="V2" s="84"/>
      <c r="W2" s="85"/>
    </row>
    <row r="3" spans="1:23" ht="12" customHeight="1">
      <c r="A3" s="1" t="s">
        <v>2</v>
      </c>
      <c r="B3" s="174" t="s">
        <v>3</v>
      </c>
      <c r="C3" s="150"/>
      <c r="D3" s="150"/>
      <c r="E3" s="3"/>
      <c r="F3" s="3"/>
      <c r="G3" s="4"/>
      <c r="H3" s="3"/>
      <c r="I3" s="3"/>
      <c r="J3" s="56"/>
      <c r="K3" s="3"/>
      <c r="L3" s="3"/>
      <c r="M3" s="3"/>
      <c r="N3" s="57"/>
      <c r="O3" s="3"/>
      <c r="P3" s="55" t="s">
        <v>4</v>
      </c>
      <c r="Q3" s="3" t="s">
        <v>54</v>
      </c>
      <c r="R3" s="3"/>
      <c r="S3" s="3"/>
      <c r="T3" s="3"/>
      <c r="U3" s="3"/>
      <c r="V3" s="3"/>
      <c r="W3" s="86"/>
    </row>
    <row r="4" spans="1:23" ht="12" customHeight="1">
      <c r="A4" s="6" t="s">
        <v>5</v>
      </c>
      <c r="B4" s="175"/>
      <c r="C4" s="138"/>
      <c r="D4" s="138"/>
      <c r="E4" s="7"/>
      <c r="F4" s="5"/>
      <c r="G4" s="8"/>
      <c r="H4" s="5"/>
      <c r="I4" s="5"/>
      <c r="J4" s="42"/>
      <c r="K4" s="5"/>
      <c r="L4" s="5"/>
      <c r="M4" s="5"/>
      <c r="N4" s="54"/>
      <c r="O4" s="5"/>
      <c r="P4" s="5" t="s">
        <v>6</v>
      </c>
      <c r="Q4" s="175" t="s">
        <v>7</v>
      </c>
      <c r="R4" s="138"/>
      <c r="S4" s="5"/>
      <c r="T4" s="5"/>
      <c r="U4" s="5"/>
      <c r="V4" s="5"/>
      <c r="W4" s="85"/>
    </row>
    <row r="5" spans="1:23" ht="12" customHeight="1">
      <c r="A5" s="9"/>
      <c r="G5" s="10"/>
      <c r="J5" s="42"/>
      <c r="N5" s="54"/>
      <c r="W5" s="87"/>
    </row>
    <row r="6" spans="1:23" ht="34.5" customHeight="1">
      <c r="A6" s="11" t="s">
        <v>8</v>
      </c>
      <c r="B6" s="12" t="s">
        <v>9</v>
      </c>
      <c r="C6" s="12" t="s">
        <v>10</v>
      </c>
      <c r="D6" s="13" t="s">
        <v>11</v>
      </c>
      <c r="E6" s="13" t="s">
        <v>12</v>
      </c>
      <c r="F6" s="13" t="s">
        <v>13</v>
      </c>
      <c r="G6" s="159" t="s">
        <v>14</v>
      </c>
      <c r="H6" s="160"/>
      <c r="I6" s="161"/>
      <c r="J6" s="162" t="s">
        <v>15</v>
      </c>
      <c r="K6" s="163"/>
      <c r="L6" s="163"/>
      <c r="M6" s="163"/>
      <c r="N6" s="164"/>
      <c r="O6" s="159" t="s">
        <v>14</v>
      </c>
      <c r="P6" s="160"/>
      <c r="Q6" s="161"/>
      <c r="R6" s="13" t="s">
        <v>13</v>
      </c>
      <c r="S6" s="13" t="s">
        <v>12</v>
      </c>
      <c r="T6" s="13" t="s">
        <v>11</v>
      </c>
      <c r="U6" s="12" t="s">
        <v>10</v>
      </c>
      <c r="V6" s="12" t="s">
        <v>9</v>
      </c>
      <c r="W6" s="88" t="s">
        <v>8</v>
      </c>
    </row>
    <row r="7" spans="1:23" ht="12" customHeight="1">
      <c r="A7" s="14"/>
      <c r="B7" s="15"/>
      <c r="C7" s="16"/>
      <c r="D7" s="16"/>
      <c r="E7" s="16"/>
      <c r="F7" s="16"/>
      <c r="G7" s="17" t="s">
        <v>16</v>
      </c>
      <c r="H7" s="18" t="s">
        <v>17</v>
      </c>
      <c r="I7" s="18" t="s">
        <v>18</v>
      </c>
      <c r="J7" s="58"/>
      <c r="K7" s="59"/>
      <c r="L7" s="60"/>
      <c r="M7" s="60"/>
      <c r="N7" s="61"/>
      <c r="O7" s="62" t="s">
        <v>16</v>
      </c>
      <c r="P7" s="18" t="s">
        <v>17</v>
      </c>
      <c r="Q7" s="89" t="s">
        <v>18</v>
      </c>
      <c r="R7" s="90"/>
      <c r="S7" s="90"/>
      <c r="T7" s="90"/>
      <c r="U7" s="90"/>
      <c r="V7" s="15"/>
      <c r="W7" s="91"/>
    </row>
    <row r="8" spans="1:23" ht="12" customHeight="1">
      <c r="A8" s="19" t="s">
        <v>111</v>
      </c>
      <c r="B8" s="20" t="s">
        <v>20</v>
      </c>
      <c r="C8" s="21">
        <v>1</v>
      </c>
      <c r="D8" s="21">
        <v>65</v>
      </c>
      <c r="E8" s="22">
        <f t="shared" ref="E8:E25" si="0">C8*D8</f>
        <v>65</v>
      </c>
      <c r="F8" s="23">
        <v>0.8</v>
      </c>
      <c r="G8" s="24">
        <f>E8*F8</f>
        <v>52</v>
      </c>
      <c r="H8" s="21"/>
      <c r="I8" s="63"/>
      <c r="J8" s="64">
        <v>1</v>
      </c>
      <c r="K8" s="65">
        <v>15</v>
      </c>
      <c r="L8" s="168"/>
      <c r="M8" s="65">
        <v>15</v>
      </c>
      <c r="N8" s="66">
        <v>13</v>
      </c>
      <c r="O8" s="24">
        <f>S8*R8</f>
        <v>448</v>
      </c>
      <c r="Q8" s="24"/>
      <c r="R8" s="23">
        <v>0.8</v>
      </c>
      <c r="S8" s="92">
        <f t="shared" ref="S8:S25" si="1">T8*U8</f>
        <v>560</v>
      </c>
      <c r="T8" s="28">
        <v>560</v>
      </c>
      <c r="U8" s="92">
        <v>1</v>
      </c>
      <c r="V8" s="20" t="s">
        <v>20</v>
      </c>
      <c r="W8" s="26" t="s">
        <v>114</v>
      </c>
    </row>
    <row r="9" spans="1:23" ht="12" customHeight="1">
      <c r="A9" s="19" t="s">
        <v>115</v>
      </c>
      <c r="B9" s="20" t="s">
        <v>20</v>
      </c>
      <c r="C9" s="21">
        <v>1</v>
      </c>
      <c r="D9" s="21">
        <v>560</v>
      </c>
      <c r="E9" s="22">
        <f t="shared" si="0"/>
        <v>560</v>
      </c>
      <c r="F9" s="23">
        <v>0.8</v>
      </c>
      <c r="G9" s="25"/>
      <c r="H9" s="25">
        <f>E9*F9</f>
        <v>448</v>
      </c>
      <c r="J9" s="64">
        <v>2</v>
      </c>
      <c r="K9" s="65">
        <v>15</v>
      </c>
      <c r="L9" s="169"/>
      <c r="M9" s="65">
        <v>15</v>
      </c>
      <c r="N9" s="66">
        <v>14</v>
      </c>
      <c r="P9" s="25">
        <f>S9*R9</f>
        <v>448</v>
      </c>
      <c r="Q9" s="25"/>
      <c r="R9" s="23">
        <v>0.8</v>
      </c>
      <c r="S9" s="92">
        <f t="shared" si="1"/>
        <v>560</v>
      </c>
      <c r="T9" s="28">
        <v>560</v>
      </c>
      <c r="U9" s="92">
        <v>1</v>
      </c>
      <c r="V9" s="20" t="s">
        <v>20</v>
      </c>
      <c r="W9" s="26" t="s">
        <v>121</v>
      </c>
    </row>
    <row r="10" spans="1:23" ht="12" customHeight="1">
      <c r="A10" s="19" t="s">
        <v>116</v>
      </c>
      <c r="B10" s="20" t="s">
        <v>20</v>
      </c>
      <c r="C10" s="21">
        <v>1</v>
      </c>
      <c r="D10" s="21">
        <v>490</v>
      </c>
      <c r="E10" s="22">
        <f t="shared" si="0"/>
        <v>490</v>
      </c>
      <c r="F10" s="23">
        <v>0.8</v>
      </c>
      <c r="G10" s="25"/>
      <c r="I10" s="25">
        <f>E10*F10</f>
        <v>392</v>
      </c>
      <c r="J10" s="64">
        <v>3</v>
      </c>
      <c r="K10" s="65">
        <v>15</v>
      </c>
      <c r="L10" s="169"/>
      <c r="M10" s="65">
        <v>15</v>
      </c>
      <c r="N10" s="66">
        <v>15</v>
      </c>
      <c r="O10" s="27"/>
      <c r="P10" s="25"/>
      <c r="Q10" s="25">
        <f>S10*R10</f>
        <v>448</v>
      </c>
      <c r="R10" s="23">
        <v>0.8</v>
      </c>
      <c r="S10" s="92">
        <f t="shared" si="1"/>
        <v>560</v>
      </c>
      <c r="T10" s="28">
        <v>560</v>
      </c>
      <c r="U10" s="92">
        <v>1</v>
      </c>
      <c r="V10" s="20" t="s">
        <v>20</v>
      </c>
      <c r="W10" s="26" t="s">
        <v>122</v>
      </c>
    </row>
    <row r="11" spans="1:23" ht="12" customHeight="1">
      <c r="A11" s="114" t="s">
        <v>125</v>
      </c>
      <c r="B11" s="20" t="s">
        <v>20</v>
      </c>
      <c r="C11" s="21">
        <v>1</v>
      </c>
      <c r="D11" s="21">
        <v>560</v>
      </c>
      <c r="E11" s="22">
        <f t="shared" si="0"/>
        <v>560</v>
      </c>
      <c r="F11" s="23">
        <v>0.8</v>
      </c>
      <c r="G11" s="25">
        <f>E11*F11</f>
        <v>448</v>
      </c>
      <c r="H11" s="25"/>
      <c r="I11" s="25"/>
      <c r="J11" s="64">
        <v>4</v>
      </c>
      <c r="K11" s="65">
        <v>15</v>
      </c>
      <c r="L11" s="169"/>
      <c r="M11" s="65">
        <v>15</v>
      </c>
      <c r="N11" s="66">
        <v>16</v>
      </c>
      <c r="O11" s="27">
        <f>S11*R11</f>
        <v>52</v>
      </c>
      <c r="Q11" s="27"/>
      <c r="R11" s="23">
        <v>0.8</v>
      </c>
      <c r="S11" s="92">
        <f t="shared" si="1"/>
        <v>65</v>
      </c>
      <c r="T11" s="28">
        <v>65</v>
      </c>
      <c r="U11" s="92">
        <v>1</v>
      </c>
      <c r="V11" s="20" t="s">
        <v>20</v>
      </c>
      <c r="W11" s="26" t="s">
        <v>123</v>
      </c>
    </row>
    <row r="12" spans="1:23" ht="12" customHeight="1">
      <c r="A12" s="19" t="s">
        <v>118</v>
      </c>
      <c r="B12" s="20" t="s">
        <v>20</v>
      </c>
      <c r="C12" s="21">
        <v>1</v>
      </c>
      <c r="D12" s="21">
        <v>116</v>
      </c>
      <c r="E12" s="22">
        <f t="shared" si="0"/>
        <v>116</v>
      </c>
      <c r="F12" s="23">
        <v>0.8</v>
      </c>
      <c r="G12" s="25"/>
      <c r="H12" s="25">
        <f>E12*F12</f>
        <v>92.800000000000011</v>
      </c>
      <c r="J12" s="64">
        <v>5</v>
      </c>
      <c r="K12" s="65">
        <v>15</v>
      </c>
      <c r="L12" s="169"/>
      <c r="M12" s="65">
        <v>15</v>
      </c>
      <c r="N12" s="66">
        <v>17</v>
      </c>
      <c r="P12" s="25">
        <f>S12*R12</f>
        <v>92.800000000000011</v>
      </c>
      <c r="Q12" s="27"/>
      <c r="R12" s="23">
        <v>0.8</v>
      </c>
      <c r="S12" s="92">
        <f t="shared" si="1"/>
        <v>116</v>
      </c>
      <c r="T12" s="28">
        <v>116</v>
      </c>
      <c r="U12" s="92">
        <v>1</v>
      </c>
      <c r="V12" s="20" t="s">
        <v>20</v>
      </c>
      <c r="W12" s="26" t="s">
        <v>124</v>
      </c>
    </row>
    <row r="13" spans="1:23" ht="12" customHeight="1">
      <c r="A13" s="114" t="s">
        <v>112</v>
      </c>
      <c r="B13" s="20" t="s">
        <v>22</v>
      </c>
      <c r="C13" s="21">
        <v>1</v>
      </c>
      <c r="D13" s="21">
        <v>2000</v>
      </c>
      <c r="E13" s="22">
        <f t="shared" si="0"/>
        <v>2000</v>
      </c>
      <c r="F13" s="23">
        <v>0.4</v>
      </c>
      <c r="G13" s="25"/>
      <c r="I13" s="25">
        <f>E13*F13</f>
        <v>800</v>
      </c>
      <c r="J13" s="64">
        <v>6</v>
      </c>
      <c r="K13" s="65">
        <v>15</v>
      </c>
      <c r="L13" s="169"/>
      <c r="M13" s="67">
        <v>15</v>
      </c>
      <c r="N13" s="66">
        <v>18</v>
      </c>
      <c r="O13" s="27"/>
      <c r="P13" s="27"/>
      <c r="Q13" s="27">
        <f>S13*R13</f>
        <v>92.800000000000011</v>
      </c>
      <c r="R13" s="23">
        <v>0.8</v>
      </c>
      <c r="S13" s="92">
        <f t="shared" si="1"/>
        <v>116</v>
      </c>
      <c r="T13" s="28">
        <v>116</v>
      </c>
      <c r="U13" s="92">
        <v>1</v>
      </c>
      <c r="V13" s="20" t="s">
        <v>20</v>
      </c>
      <c r="W13" s="26" t="s">
        <v>117</v>
      </c>
    </row>
    <row r="14" spans="1:23" ht="12" customHeight="1">
      <c r="A14" s="19" t="s">
        <v>120</v>
      </c>
      <c r="B14" s="20" t="s">
        <v>20</v>
      </c>
      <c r="C14" s="21">
        <v>1</v>
      </c>
      <c r="D14" s="28">
        <v>560</v>
      </c>
      <c r="E14" s="22">
        <f t="shared" si="0"/>
        <v>560</v>
      </c>
      <c r="F14" s="23">
        <v>0.8</v>
      </c>
      <c r="G14" s="25">
        <f>E14*F14</f>
        <v>448</v>
      </c>
      <c r="H14" s="27"/>
      <c r="I14" s="27"/>
      <c r="J14" s="64">
        <v>7</v>
      </c>
      <c r="K14" s="65">
        <v>15</v>
      </c>
      <c r="L14" s="169"/>
      <c r="M14" s="67">
        <v>15</v>
      </c>
      <c r="N14" s="66">
        <v>19</v>
      </c>
      <c r="O14" s="27">
        <f>S14*R14</f>
        <v>320</v>
      </c>
      <c r="Q14" s="27"/>
      <c r="R14" s="23">
        <v>0.8</v>
      </c>
      <c r="S14" s="92">
        <f t="shared" si="1"/>
        <v>400</v>
      </c>
      <c r="T14" s="28">
        <v>400</v>
      </c>
      <c r="U14" s="92">
        <v>1</v>
      </c>
      <c r="V14" s="111" t="s">
        <v>20</v>
      </c>
      <c r="W14" s="26" t="s">
        <v>199</v>
      </c>
    </row>
    <row r="15" spans="1:23" ht="12" customHeight="1">
      <c r="A15" s="112" t="s">
        <v>119</v>
      </c>
      <c r="B15" s="20" t="s">
        <v>20</v>
      </c>
      <c r="C15" s="21">
        <v>1</v>
      </c>
      <c r="D15" s="28">
        <v>560</v>
      </c>
      <c r="E15" s="22">
        <f t="shared" si="0"/>
        <v>560</v>
      </c>
      <c r="F15" s="23">
        <v>0.8</v>
      </c>
      <c r="G15" s="25"/>
      <c r="H15" s="27">
        <f>E15*F15</f>
        <v>448</v>
      </c>
      <c r="J15" s="64">
        <v>8</v>
      </c>
      <c r="K15" s="68">
        <v>15</v>
      </c>
      <c r="L15" s="169"/>
      <c r="M15" s="67">
        <v>30</v>
      </c>
      <c r="N15" s="66">
        <v>20</v>
      </c>
      <c r="P15" s="27">
        <f>S15*R15</f>
        <v>800</v>
      </c>
      <c r="Q15" s="27"/>
      <c r="R15" s="23">
        <v>0.4</v>
      </c>
      <c r="S15" s="92">
        <f t="shared" si="1"/>
        <v>2000</v>
      </c>
      <c r="T15" s="28">
        <v>2000</v>
      </c>
      <c r="U15" s="92">
        <v>1</v>
      </c>
      <c r="V15" s="111" t="s">
        <v>23</v>
      </c>
      <c r="W15" s="26" t="s">
        <v>113</v>
      </c>
    </row>
    <row r="16" spans="1:23" ht="12" customHeight="1">
      <c r="A16" s="112" t="s">
        <v>126</v>
      </c>
      <c r="B16" s="20" t="s">
        <v>22</v>
      </c>
      <c r="C16" s="21">
        <v>1</v>
      </c>
      <c r="D16" s="28">
        <v>2000</v>
      </c>
      <c r="E16" s="22">
        <f t="shared" si="0"/>
        <v>2000</v>
      </c>
      <c r="F16" s="23">
        <v>0.4</v>
      </c>
      <c r="G16" s="25"/>
      <c r="I16" s="25">
        <f>E16*F16</f>
        <v>800</v>
      </c>
      <c r="J16" s="64">
        <v>9</v>
      </c>
      <c r="K16" s="68">
        <v>15</v>
      </c>
      <c r="L16" s="169"/>
      <c r="M16" s="67">
        <v>15</v>
      </c>
      <c r="N16" s="66">
        <v>21</v>
      </c>
      <c r="O16" s="27"/>
      <c r="P16" s="27"/>
      <c r="Q16" s="27">
        <f>R16*S16</f>
        <v>320</v>
      </c>
      <c r="R16" s="23">
        <v>0.8</v>
      </c>
      <c r="S16" s="92">
        <f t="shared" si="1"/>
        <v>400</v>
      </c>
      <c r="T16" s="28">
        <v>400</v>
      </c>
      <c r="U16" s="92">
        <v>1</v>
      </c>
      <c r="V16" s="111" t="s">
        <v>22</v>
      </c>
      <c r="W16" s="26" t="s">
        <v>200</v>
      </c>
    </row>
    <row r="17" spans="1:23" ht="12" customHeight="1">
      <c r="A17" s="112" t="s">
        <v>127</v>
      </c>
      <c r="B17" s="20" t="s">
        <v>22</v>
      </c>
      <c r="C17" s="21">
        <v>1</v>
      </c>
      <c r="D17" s="28">
        <v>2000</v>
      </c>
      <c r="E17" s="22">
        <f t="shared" si="0"/>
        <v>2000</v>
      </c>
      <c r="F17" s="23">
        <v>0.4</v>
      </c>
      <c r="G17" s="27">
        <f>F17*E17</f>
        <v>800</v>
      </c>
      <c r="H17" s="29"/>
      <c r="I17" s="27"/>
      <c r="J17" s="64">
        <v>10</v>
      </c>
      <c r="K17" s="68">
        <v>15</v>
      </c>
      <c r="L17" s="169"/>
      <c r="M17" s="67">
        <v>20</v>
      </c>
      <c r="N17" s="66">
        <v>22</v>
      </c>
      <c r="O17" s="27">
        <f>S17*R17</f>
        <v>0</v>
      </c>
      <c r="Q17" s="27"/>
      <c r="R17" s="23">
        <v>0.8</v>
      </c>
      <c r="S17" s="92">
        <f t="shared" si="1"/>
        <v>0</v>
      </c>
      <c r="T17" s="22">
        <v>1500</v>
      </c>
      <c r="U17" s="92">
        <v>0</v>
      </c>
      <c r="V17" s="111" t="s">
        <v>22</v>
      </c>
      <c r="W17" s="26" t="s">
        <v>21</v>
      </c>
    </row>
    <row r="18" spans="1:23" ht="12" customHeight="1">
      <c r="A18" s="112" t="s">
        <v>21</v>
      </c>
      <c r="B18" s="116" t="s">
        <v>23</v>
      </c>
      <c r="C18" s="21">
        <v>0</v>
      </c>
      <c r="D18" s="28">
        <v>3000</v>
      </c>
      <c r="E18" s="22">
        <f t="shared" si="0"/>
        <v>0</v>
      </c>
      <c r="F18" s="23">
        <v>0.4</v>
      </c>
      <c r="G18" s="25"/>
      <c r="H18" s="27">
        <f>E18*F18</f>
        <v>0</v>
      </c>
      <c r="J18" s="64">
        <v>11</v>
      </c>
      <c r="K18" s="68">
        <v>30</v>
      </c>
      <c r="L18" s="169"/>
      <c r="M18" s="67">
        <v>15</v>
      </c>
      <c r="N18" s="66">
        <v>23</v>
      </c>
      <c r="P18" s="27">
        <f>R18*S18</f>
        <v>0</v>
      </c>
      <c r="Q18" s="27"/>
      <c r="R18" s="23">
        <v>0.8</v>
      </c>
      <c r="S18" s="92">
        <f t="shared" si="1"/>
        <v>0</v>
      </c>
      <c r="T18" s="22">
        <v>400</v>
      </c>
      <c r="U18" s="92">
        <v>0</v>
      </c>
      <c r="V18" s="111" t="s">
        <v>20</v>
      </c>
      <c r="W18" s="118" t="s">
        <v>21</v>
      </c>
    </row>
    <row r="19" spans="1:23" ht="12" customHeight="1">
      <c r="A19" s="112" t="s">
        <v>21</v>
      </c>
      <c r="B19" s="116" t="s">
        <v>20</v>
      </c>
      <c r="C19" s="21">
        <v>0</v>
      </c>
      <c r="D19" s="28">
        <v>400</v>
      </c>
      <c r="E19" s="22">
        <f t="shared" si="0"/>
        <v>0</v>
      </c>
      <c r="F19" s="23">
        <v>0.8</v>
      </c>
      <c r="G19" s="25"/>
      <c r="I19" s="27">
        <f>E19*F19</f>
        <v>0</v>
      </c>
      <c r="J19" s="64">
        <v>12</v>
      </c>
      <c r="K19" s="68">
        <v>15</v>
      </c>
      <c r="L19" s="169"/>
      <c r="M19" s="68">
        <v>15</v>
      </c>
      <c r="N19" s="66">
        <v>24</v>
      </c>
      <c r="O19" s="27"/>
      <c r="P19" s="27"/>
      <c r="Q19" s="27">
        <f>R19*S19</f>
        <v>0</v>
      </c>
      <c r="R19" s="23">
        <v>0.8</v>
      </c>
      <c r="S19" s="92">
        <f t="shared" si="1"/>
        <v>0</v>
      </c>
      <c r="T19" s="22">
        <v>116</v>
      </c>
      <c r="U19" s="21">
        <v>0</v>
      </c>
      <c r="V19" s="111" t="s">
        <v>20</v>
      </c>
      <c r="W19" s="118" t="s">
        <v>21</v>
      </c>
    </row>
    <row r="20" spans="1:23" ht="12" customHeight="1">
      <c r="A20" s="19" t="s">
        <v>21</v>
      </c>
      <c r="B20" s="20" t="s">
        <v>22</v>
      </c>
      <c r="C20" s="21">
        <v>0</v>
      </c>
      <c r="D20" s="31">
        <v>1500</v>
      </c>
      <c r="E20" s="22">
        <f t="shared" si="0"/>
        <v>0</v>
      </c>
      <c r="F20" s="30">
        <v>0.8</v>
      </c>
      <c r="G20" s="27">
        <f>E20*F20</f>
        <v>0</v>
      </c>
      <c r="H20" s="27"/>
      <c r="I20" s="27"/>
      <c r="J20" s="64"/>
      <c r="K20" s="68">
        <v>20</v>
      </c>
      <c r="L20" s="169"/>
      <c r="M20" s="68">
        <v>30</v>
      </c>
      <c r="N20" s="64"/>
      <c r="O20" s="27">
        <f>R20*S20</f>
        <v>0</v>
      </c>
      <c r="Q20" s="27"/>
      <c r="R20" s="93">
        <v>0.6</v>
      </c>
      <c r="S20" s="92">
        <f t="shared" si="1"/>
        <v>0</v>
      </c>
      <c r="T20" s="31">
        <v>3000</v>
      </c>
      <c r="U20" s="92">
        <v>0</v>
      </c>
      <c r="V20" s="27" t="s">
        <v>23</v>
      </c>
      <c r="W20" s="94" t="s">
        <v>21</v>
      </c>
    </row>
    <row r="21" spans="1:23" ht="12" customHeight="1">
      <c r="A21" s="19" t="s">
        <v>21</v>
      </c>
      <c r="B21" s="20" t="s">
        <v>22</v>
      </c>
      <c r="C21" s="21">
        <v>0</v>
      </c>
      <c r="D21" s="31">
        <v>2000</v>
      </c>
      <c r="E21" s="22">
        <f t="shared" si="0"/>
        <v>0</v>
      </c>
      <c r="F21" s="30">
        <v>0.6</v>
      </c>
      <c r="G21" s="25"/>
      <c r="H21" s="27">
        <f>E21*F21</f>
        <v>0</v>
      </c>
      <c r="J21" s="64"/>
      <c r="K21" s="68">
        <v>20</v>
      </c>
      <c r="L21" s="169"/>
      <c r="M21" s="68">
        <v>20</v>
      </c>
      <c r="N21" s="66"/>
      <c r="P21" s="27">
        <f>R21*S21</f>
        <v>0</v>
      </c>
      <c r="Q21" s="27"/>
      <c r="R21" s="93">
        <v>1</v>
      </c>
      <c r="S21" s="92">
        <f t="shared" si="1"/>
        <v>0</v>
      </c>
      <c r="T21" s="31">
        <v>400</v>
      </c>
      <c r="U21" s="92">
        <v>0</v>
      </c>
      <c r="V21" s="27" t="s">
        <v>24</v>
      </c>
      <c r="W21" s="94" t="s">
        <v>21</v>
      </c>
    </row>
    <row r="22" spans="1:23" ht="12" customHeight="1">
      <c r="A22" s="19" t="s">
        <v>21</v>
      </c>
      <c r="B22" s="20" t="s">
        <v>22</v>
      </c>
      <c r="C22" s="21">
        <v>0</v>
      </c>
      <c r="D22" s="28">
        <v>1119</v>
      </c>
      <c r="E22" s="22">
        <f t="shared" si="0"/>
        <v>0</v>
      </c>
      <c r="F22" s="23">
        <v>0.8</v>
      </c>
      <c r="G22" s="25"/>
      <c r="I22" s="27">
        <f>E22*F22</f>
        <v>0</v>
      </c>
      <c r="J22" s="64"/>
      <c r="K22" s="68">
        <v>15</v>
      </c>
      <c r="L22" s="169"/>
      <c r="M22" s="68">
        <v>20</v>
      </c>
      <c r="N22" s="66"/>
      <c r="O22" s="27"/>
      <c r="P22" s="27"/>
      <c r="Q22" s="27">
        <f>R22*S22</f>
        <v>0</v>
      </c>
      <c r="R22" s="23">
        <v>0.8</v>
      </c>
      <c r="S22" s="92">
        <f t="shared" si="1"/>
        <v>0</v>
      </c>
      <c r="T22" s="22">
        <v>1492</v>
      </c>
      <c r="U22" s="92">
        <v>0</v>
      </c>
      <c r="V22" s="27" t="s">
        <v>22</v>
      </c>
      <c r="W22" s="94" t="s">
        <v>21</v>
      </c>
    </row>
    <row r="23" spans="1:23" ht="12" customHeight="1">
      <c r="A23" s="19" t="s">
        <v>21</v>
      </c>
      <c r="B23" s="20" t="s">
        <v>22</v>
      </c>
      <c r="C23" s="21">
        <v>0</v>
      </c>
      <c r="D23" s="31">
        <v>1200</v>
      </c>
      <c r="E23" s="22">
        <f t="shared" si="0"/>
        <v>0</v>
      </c>
      <c r="F23" s="30">
        <v>1</v>
      </c>
      <c r="G23" s="27">
        <f>E23*F23</f>
        <v>0</v>
      </c>
      <c r="H23" s="27"/>
      <c r="I23" s="27"/>
      <c r="J23" s="64"/>
      <c r="K23" s="68">
        <v>20</v>
      </c>
      <c r="L23" s="169"/>
      <c r="M23" s="68">
        <v>20</v>
      </c>
      <c r="N23" s="66"/>
      <c r="O23" s="27">
        <f>R23*S23</f>
        <v>0</v>
      </c>
      <c r="Q23" s="27"/>
      <c r="R23" s="93">
        <v>1</v>
      </c>
      <c r="S23" s="92">
        <f t="shared" si="1"/>
        <v>0</v>
      </c>
      <c r="T23" s="31">
        <v>400</v>
      </c>
      <c r="U23" s="92">
        <v>0</v>
      </c>
      <c r="V23" s="75" t="s">
        <v>24</v>
      </c>
      <c r="W23" s="94" t="s">
        <v>21</v>
      </c>
    </row>
    <row r="24" spans="1:23" ht="12" customHeight="1">
      <c r="A24" s="19" t="s">
        <v>21</v>
      </c>
      <c r="B24" s="20" t="s">
        <v>22</v>
      </c>
      <c r="C24" s="21">
        <v>0</v>
      </c>
      <c r="D24" s="31">
        <v>1200</v>
      </c>
      <c r="E24" s="22">
        <f t="shared" si="0"/>
        <v>0</v>
      </c>
      <c r="F24" s="30">
        <v>1</v>
      </c>
      <c r="G24" s="25"/>
      <c r="H24" s="27">
        <f>E24*F24</f>
        <v>0</v>
      </c>
      <c r="J24" s="64"/>
      <c r="K24" s="68">
        <v>20</v>
      </c>
      <c r="L24" s="169"/>
      <c r="M24" s="68">
        <v>20</v>
      </c>
      <c r="N24" s="66"/>
      <c r="P24" s="27">
        <f>R24*S24</f>
        <v>0</v>
      </c>
      <c r="Q24" s="27"/>
      <c r="R24" s="93">
        <v>1</v>
      </c>
      <c r="S24" s="92">
        <f t="shared" si="1"/>
        <v>0</v>
      </c>
      <c r="T24" s="31">
        <v>400</v>
      </c>
      <c r="U24" s="92">
        <v>0</v>
      </c>
      <c r="V24" s="75" t="s">
        <v>24</v>
      </c>
      <c r="W24" s="94" t="s">
        <v>21</v>
      </c>
    </row>
    <row r="25" spans="1:23" ht="12" customHeight="1">
      <c r="A25" s="19" t="s">
        <v>21</v>
      </c>
      <c r="B25" s="20" t="s">
        <v>22</v>
      </c>
      <c r="C25" s="21">
        <v>0</v>
      </c>
      <c r="D25" s="31">
        <v>1200</v>
      </c>
      <c r="E25" s="22">
        <f t="shared" si="0"/>
        <v>0</v>
      </c>
      <c r="F25" s="30">
        <v>1</v>
      </c>
      <c r="G25" s="25"/>
      <c r="I25" s="27">
        <f>E25*F25</f>
        <v>0</v>
      </c>
      <c r="J25" s="64"/>
      <c r="K25" s="68">
        <v>20</v>
      </c>
      <c r="L25" s="169"/>
      <c r="M25" s="68">
        <v>20</v>
      </c>
      <c r="N25" s="66"/>
      <c r="O25" s="27"/>
      <c r="P25" s="27"/>
      <c r="Q25" s="27">
        <f>R25*S25</f>
        <v>0</v>
      </c>
      <c r="R25" s="93">
        <v>1</v>
      </c>
      <c r="S25" s="92">
        <f t="shared" si="1"/>
        <v>0</v>
      </c>
      <c r="T25" s="31">
        <v>400</v>
      </c>
      <c r="U25" s="92">
        <v>0</v>
      </c>
      <c r="V25" s="75" t="s">
        <v>24</v>
      </c>
      <c r="W25" s="94" t="s">
        <v>21</v>
      </c>
    </row>
    <row r="26" spans="1:23" ht="12" customHeight="1">
      <c r="A26" s="165" t="s">
        <v>25</v>
      </c>
      <c r="B26" s="146"/>
      <c r="C26" s="32"/>
      <c r="D26" s="32"/>
      <c r="E26" s="33">
        <f>SUM(E8:E25)</f>
        <v>8911</v>
      </c>
      <c r="F26" s="32"/>
      <c r="G26" s="34">
        <f t="shared" ref="G26:I26" si="2">SUM(G8:G25)</f>
        <v>1748</v>
      </c>
      <c r="H26" s="27">
        <f t="shared" si="2"/>
        <v>988.8</v>
      </c>
      <c r="I26" s="27">
        <f t="shared" si="2"/>
        <v>1992</v>
      </c>
      <c r="J26" s="32"/>
      <c r="K26" s="69"/>
      <c r="L26" s="170"/>
      <c r="M26" s="69"/>
      <c r="N26" s="70"/>
      <c r="O26" s="25">
        <f t="shared" ref="O26:Q26" si="3">SUM(O8:O25)</f>
        <v>820</v>
      </c>
      <c r="P26" s="34">
        <f t="shared" si="3"/>
        <v>1340.8</v>
      </c>
      <c r="Q26" s="25">
        <f t="shared" si="3"/>
        <v>860.8</v>
      </c>
      <c r="R26" s="27"/>
      <c r="S26" s="95">
        <f>SUM(S8:S25)</f>
        <v>4777</v>
      </c>
      <c r="T26" s="95"/>
      <c r="U26" s="34"/>
      <c r="V26" s="69"/>
      <c r="W26" s="96"/>
    </row>
    <row r="27" spans="1:23" ht="12" customHeight="1">
      <c r="A27" s="35" t="s">
        <v>41</v>
      </c>
      <c r="B27" s="32"/>
      <c r="C27" s="32"/>
      <c r="D27" s="32"/>
      <c r="E27" s="32"/>
      <c r="F27" s="32"/>
      <c r="G27" s="36"/>
      <c r="H27" s="37"/>
      <c r="I27" s="37"/>
      <c r="J27" s="32"/>
      <c r="K27" s="71"/>
      <c r="L27" s="71"/>
      <c r="M27" s="71" t="s">
        <v>206</v>
      </c>
      <c r="N27" s="70"/>
      <c r="O27" s="71"/>
      <c r="P27" s="71"/>
      <c r="Q27" s="71"/>
      <c r="R27" s="37"/>
      <c r="S27" s="71"/>
      <c r="T27" s="71"/>
      <c r="U27" s="37"/>
      <c r="V27" s="71"/>
      <c r="W27" s="96"/>
    </row>
    <row r="28" spans="1:23" ht="12" customHeight="1">
      <c r="A28" s="166"/>
      <c r="B28" s="167"/>
      <c r="C28" s="38"/>
      <c r="D28" s="38"/>
      <c r="E28" s="38"/>
      <c r="F28" s="38"/>
      <c r="G28" s="39"/>
      <c r="H28" s="40"/>
      <c r="I28" s="37"/>
      <c r="J28" s="38"/>
      <c r="K28" s="72"/>
      <c r="L28" s="72"/>
      <c r="M28" s="72"/>
      <c r="N28" s="73"/>
      <c r="O28" s="72"/>
      <c r="P28" s="72"/>
      <c r="Q28" s="72"/>
      <c r="R28" s="72"/>
      <c r="S28" s="72"/>
      <c r="T28" s="72"/>
      <c r="U28" s="40"/>
      <c r="V28" s="72"/>
      <c r="W28" s="97"/>
    </row>
    <row r="29" spans="1:23" ht="12" customHeight="1">
      <c r="A29" s="41"/>
      <c r="B29" s="42"/>
      <c r="C29" s="42"/>
      <c r="D29" s="42"/>
      <c r="E29" s="42"/>
      <c r="F29" s="42"/>
      <c r="G29" s="10"/>
      <c r="J29" s="42"/>
      <c r="N29" s="54"/>
      <c r="O29" s="74"/>
      <c r="P29" s="74"/>
      <c r="Q29" s="74"/>
      <c r="V29" s="151"/>
      <c r="W29" s="152"/>
    </row>
    <row r="30" spans="1:23" ht="12" customHeight="1">
      <c r="A30" s="43" t="s">
        <v>27</v>
      </c>
      <c r="B30" s="44"/>
      <c r="C30" s="44"/>
      <c r="D30" s="44"/>
      <c r="E30" s="44"/>
      <c r="F30" s="44"/>
      <c r="G30" s="45"/>
      <c r="H30" s="44"/>
      <c r="I30" s="153" t="s">
        <v>16</v>
      </c>
      <c r="J30" s="140"/>
      <c r="K30" s="153" t="s">
        <v>17</v>
      </c>
      <c r="L30" s="140"/>
      <c r="M30" s="153" t="s">
        <v>18</v>
      </c>
      <c r="N30" s="138"/>
      <c r="O30" s="140"/>
      <c r="P30" s="75"/>
      <c r="Q30" s="20"/>
      <c r="R30" s="20"/>
      <c r="S30" s="98" t="s">
        <v>28</v>
      </c>
      <c r="T30" s="98"/>
      <c r="U30" s="98"/>
      <c r="V30" s="20"/>
      <c r="W30" s="99"/>
    </row>
    <row r="31" spans="1:23" ht="12" customHeight="1">
      <c r="A31" s="46" t="s">
        <v>202</v>
      </c>
      <c r="G31" s="47" t="s">
        <v>29</v>
      </c>
      <c r="H31" s="48"/>
      <c r="I31" s="154">
        <f>G26+O26</f>
        <v>2568</v>
      </c>
      <c r="J31" s="146"/>
      <c r="K31" s="155">
        <f>H26+P26</f>
        <v>2329.6</v>
      </c>
      <c r="L31" s="146"/>
      <c r="M31" s="154">
        <f>I26+Q26</f>
        <v>2852.8</v>
      </c>
      <c r="N31" s="150"/>
      <c r="O31" s="146"/>
      <c r="P31" s="149"/>
      <c r="Q31" s="146"/>
      <c r="R31" s="20"/>
      <c r="S31" s="156" t="s">
        <v>203</v>
      </c>
      <c r="T31" s="157"/>
      <c r="U31" s="157"/>
      <c r="V31" s="157"/>
      <c r="W31" s="158"/>
    </row>
    <row r="32" spans="1:23" ht="12" customHeight="1">
      <c r="A32" s="6"/>
      <c r="G32" s="145" t="s">
        <v>31</v>
      </c>
      <c r="H32" s="146"/>
      <c r="I32" s="76"/>
      <c r="J32" s="77"/>
      <c r="K32" s="78"/>
      <c r="L32" s="77"/>
      <c r="M32" s="78"/>
      <c r="N32" s="2"/>
      <c r="O32" s="77"/>
      <c r="P32" s="147">
        <v>500</v>
      </c>
      <c r="Q32" s="146"/>
      <c r="R32" s="20"/>
      <c r="S32" s="100"/>
      <c r="T32" s="100"/>
      <c r="U32" s="100"/>
      <c r="V32" s="101"/>
      <c r="W32" s="96"/>
    </row>
    <row r="33" spans="1:23" ht="12" customHeight="1">
      <c r="A33" s="49" t="s">
        <v>32</v>
      </c>
      <c r="G33" s="47" t="s">
        <v>33</v>
      </c>
      <c r="H33" s="48"/>
      <c r="I33" s="79"/>
      <c r="J33" s="20"/>
      <c r="K33" s="75"/>
      <c r="L33" s="20"/>
      <c r="M33" s="75"/>
      <c r="N33" s="80"/>
      <c r="O33" s="20"/>
      <c r="P33" s="148">
        <f>I31+K31+M31+P32</f>
        <v>8250.4000000000015</v>
      </c>
      <c r="Q33" s="146"/>
      <c r="R33" s="20" t="s">
        <v>34</v>
      </c>
      <c r="S33" s="20"/>
      <c r="T33" s="20"/>
      <c r="U33" s="20"/>
      <c r="V33" s="101"/>
      <c r="W33" s="96"/>
    </row>
    <row r="34" spans="1:23" ht="12" customHeight="1">
      <c r="A34" s="6" t="s">
        <v>205</v>
      </c>
      <c r="G34" s="47" t="s">
        <v>35</v>
      </c>
      <c r="H34" s="48"/>
      <c r="I34" s="149"/>
      <c r="J34" s="146"/>
      <c r="K34" s="149"/>
      <c r="L34" s="146"/>
      <c r="M34" s="149"/>
      <c r="N34" s="150"/>
      <c r="O34" s="146"/>
      <c r="P34" s="147">
        <v>0.8</v>
      </c>
      <c r="Q34" s="146"/>
      <c r="R34" s="20" t="s">
        <v>36</v>
      </c>
      <c r="S34" s="20"/>
      <c r="T34" s="20"/>
      <c r="U34" s="20"/>
      <c r="V34" s="101"/>
      <c r="W34" s="96"/>
    </row>
    <row r="35" spans="1:23" ht="12" customHeight="1">
      <c r="A35" s="6"/>
      <c r="G35" s="137" t="s">
        <v>37</v>
      </c>
      <c r="H35" s="138"/>
      <c r="I35" s="138"/>
      <c r="J35" s="81"/>
      <c r="K35" s="82"/>
      <c r="L35" s="81"/>
      <c r="M35" s="82"/>
      <c r="N35" s="83"/>
      <c r="O35" s="81"/>
      <c r="P35" s="139">
        <f>P33/P34</f>
        <v>10313.000000000002</v>
      </c>
      <c r="Q35" s="140"/>
      <c r="R35" s="81" t="s">
        <v>38</v>
      </c>
      <c r="S35" s="81"/>
      <c r="T35" s="81"/>
      <c r="U35" s="81"/>
      <c r="V35" s="102"/>
      <c r="W35" s="103"/>
    </row>
    <row r="36" spans="1:23" ht="12" customHeight="1">
      <c r="A36" s="50"/>
      <c r="B36" s="51"/>
      <c r="C36" s="51"/>
      <c r="D36" s="51"/>
      <c r="E36" s="51"/>
      <c r="F36" s="51"/>
      <c r="G36" s="52" t="s">
        <v>39</v>
      </c>
      <c r="H36" s="53"/>
      <c r="I36" s="141"/>
      <c r="J36" s="142"/>
      <c r="K36" s="141"/>
      <c r="L36" s="142"/>
      <c r="M36" s="141"/>
      <c r="N36" s="143"/>
      <c r="O36" s="142"/>
      <c r="P36" s="144">
        <f>ROUNDUP(P33/575,1)</f>
        <v>14.4</v>
      </c>
      <c r="Q36" s="142"/>
      <c r="R36" s="104" t="s">
        <v>40</v>
      </c>
      <c r="S36" s="104"/>
      <c r="T36" s="104"/>
      <c r="U36" s="104"/>
      <c r="V36" s="105"/>
      <c r="W36" s="106"/>
    </row>
    <row r="37" spans="1:23" ht="12" customHeight="1">
      <c r="A37" s="9"/>
      <c r="G37" s="10"/>
      <c r="J37" s="42"/>
      <c r="N37" s="54"/>
      <c r="R37" s="29"/>
      <c r="W37" s="87"/>
    </row>
    <row r="38" spans="1:23" ht="12" customHeight="1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07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 ht="12" customHeight="1">
      <c r="G49" s="10"/>
      <c r="J49" s="42"/>
      <c r="N49" s="54"/>
      <c r="R49" s="29"/>
    </row>
    <row r="50" spans="7:18" ht="12" customHeight="1">
      <c r="G50" s="10"/>
      <c r="J50" s="42"/>
      <c r="N50" s="54"/>
      <c r="R50" s="29"/>
    </row>
    <row r="51" spans="7:18" ht="12" customHeight="1">
      <c r="G51" s="10"/>
      <c r="J51" s="42"/>
      <c r="N51" s="54"/>
      <c r="R51" s="29"/>
    </row>
    <row r="52" spans="7:18" ht="12" customHeight="1">
      <c r="G52" s="10"/>
      <c r="J52" s="42"/>
      <c r="N52" s="54"/>
      <c r="R52" s="29"/>
    </row>
    <row r="53" spans="7:18" ht="12" customHeight="1">
      <c r="G53" s="10"/>
      <c r="J53" s="42"/>
      <c r="N53" s="54"/>
      <c r="R53" s="29"/>
    </row>
    <row r="54" spans="7:18" ht="12" customHeight="1">
      <c r="G54" s="10"/>
      <c r="J54" s="42"/>
      <c r="N54" s="54"/>
      <c r="R54" s="29"/>
    </row>
    <row r="55" spans="7:18" ht="12" customHeight="1">
      <c r="G55" s="10"/>
      <c r="J55" s="42"/>
      <c r="N55" s="54"/>
      <c r="R55" s="29"/>
    </row>
    <row r="56" spans="7:18" ht="12" customHeight="1">
      <c r="G56" s="10"/>
      <c r="J56" s="42"/>
      <c r="N56" s="54"/>
      <c r="R56" s="29"/>
    </row>
    <row r="57" spans="7:18" ht="12" customHeight="1">
      <c r="G57" s="10"/>
      <c r="J57" s="42"/>
      <c r="N57" s="54"/>
      <c r="R57" s="29"/>
    </row>
    <row r="58" spans="7:18" ht="12" customHeight="1">
      <c r="G58" s="10"/>
      <c r="J58" s="42"/>
      <c r="N58" s="54"/>
      <c r="R58" s="29"/>
    </row>
    <row r="59" spans="7:18" ht="12" customHeight="1">
      <c r="G59" s="10"/>
      <c r="J59" s="42"/>
      <c r="N59" s="54"/>
      <c r="R59" s="29"/>
    </row>
    <row r="60" spans="7:18" ht="12" customHeight="1">
      <c r="G60" s="10"/>
      <c r="J60" s="42"/>
      <c r="N60" s="54"/>
      <c r="R60" s="29"/>
    </row>
    <row r="61" spans="7:18" ht="12" customHeight="1">
      <c r="G61" s="10"/>
      <c r="J61" s="42"/>
      <c r="N61" s="54"/>
      <c r="R61" s="29"/>
    </row>
    <row r="62" spans="7:18" ht="12" customHeight="1">
      <c r="G62" s="10"/>
      <c r="J62" s="42"/>
      <c r="N62" s="54"/>
      <c r="R62" s="29"/>
    </row>
    <row r="63" spans="7:18" ht="12" customHeight="1">
      <c r="G63" s="10"/>
      <c r="J63" s="42"/>
      <c r="N63" s="54"/>
      <c r="R63" s="29"/>
    </row>
    <row r="64" spans="7:18" ht="12" customHeight="1">
      <c r="G64" s="10"/>
      <c r="J64" s="42"/>
      <c r="N64" s="54"/>
      <c r="R64" s="29"/>
    </row>
    <row r="65" spans="7:18" ht="12" customHeight="1">
      <c r="G65" s="10"/>
      <c r="J65" s="42"/>
      <c r="N65" s="54"/>
      <c r="R65" s="29"/>
    </row>
    <row r="66" spans="7:18" ht="12" customHeight="1">
      <c r="G66" s="10"/>
      <c r="J66" s="42"/>
      <c r="N66" s="54"/>
      <c r="R66" s="29"/>
    </row>
    <row r="67" spans="7:18" ht="12" customHeight="1">
      <c r="G67" s="10"/>
      <c r="J67" s="42"/>
      <c r="N67" s="54"/>
      <c r="R67" s="29"/>
    </row>
    <row r="68" spans="7:18" ht="12" customHeight="1">
      <c r="G68" s="10"/>
      <c r="J68" s="42"/>
      <c r="N68" s="54"/>
      <c r="R68" s="29"/>
    </row>
    <row r="69" spans="7:18" ht="12" customHeight="1">
      <c r="G69" s="10"/>
      <c r="J69" s="42"/>
      <c r="N69" s="54"/>
      <c r="R69" s="29"/>
    </row>
    <row r="70" spans="7:18" ht="12" customHeight="1">
      <c r="G70" s="10"/>
      <c r="J70" s="42"/>
      <c r="N70" s="54"/>
      <c r="R70" s="29"/>
    </row>
    <row r="71" spans="7:18" ht="12" customHeight="1">
      <c r="G71" s="10"/>
      <c r="J71" s="42"/>
      <c r="N71" s="54"/>
      <c r="R71" s="29"/>
    </row>
    <row r="72" spans="7:18" ht="12" customHeight="1">
      <c r="G72" s="10"/>
      <c r="J72" s="42"/>
      <c r="N72" s="54"/>
      <c r="R72" s="29"/>
    </row>
    <row r="73" spans="7:18" ht="12" customHeight="1">
      <c r="G73" s="10"/>
      <c r="J73" s="42"/>
      <c r="N73" s="54"/>
      <c r="R73" s="29"/>
    </row>
    <row r="74" spans="7:18" ht="12" customHeight="1">
      <c r="G74" s="10"/>
      <c r="J74" s="42"/>
      <c r="N74" s="54"/>
      <c r="R74" s="29"/>
    </row>
    <row r="75" spans="7:18" ht="12" customHeight="1">
      <c r="G75" s="10"/>
      <c r="J75" s="42"/>
      <c r="N75" s="54"/>
      <c r="R75" s="29"/>
    </row>
    <row r="76" spans="7:18" ht="12" customHeight="1">
      <c r="G76" s="10"/>
      <c r="J76" s="42"/>
      <c r="N76" s="54"/>
      <c r="R76" s="29"/>
    </row>
    <row r="77" spans="7:18" ht="12" customHeight="1">
      <c r="G77" s="10"/>
      <c r="J77" s="42"/>
      <c r="N77" s="54"/>
      <c r="R77" s="29"/>
    </row>
    <row r="78" spans="7:18" ht="12" customHeight="1">
      <c r="G78" s="10"/>
      <c r="J78" s="42"/>
      <c r="N78" s="54"/>
      <c r="R78" s="29"/>
    </row>
    <row r="79" spans="7:18" ht="12" customHeight="1">
      <c r="G79" s="10"/>
      <c r="J79" s="42"/>
      <c r="N79" s="54"/>
      <c r="R79" s="29"/>
    </row>
    <row r="80" spans="7:18" ht="12" customHeight="1">
      <c r="G80" s="10"/>
      <c r="J80" s="42"/>
      <c r="N80" s="54"/>
      <c r="R80" s="29"/>
    </row>
    <row r="81" spans="7:18" ht="12" customHeight="1">
      <c r="G81" s="10"/>
      <c r="J81" s="42"/>
      <c r="N81" s="54"/>
      <c r="R81" s="29"/>
    </row>
    <row r="82" spans="7:18" ht="12" customHeight="1">
      <c r="G82" s="10"/>
      <c r="J82" s="42"/>
      <c r="N82" s="54"/>
      <c r="R82" s="29"/>
    </row>
    <row r="83" spans="7:18" ht="12" customHeight="1">
      <c r="G83" s="10"/>
      <c r="J83" s="42"/>
      <c r="N83" s="54"/>
      <c r="R83" s="29"/>
    </row>
    <row r="84" spans="7:18" ht="12" customHeight="1">
      <c r="G84" s="10"/>
      <c r="J84" s="42"/>
      <c r="N84" s="54"/>
      <c r="R84" s="29"/>
    </row>
    <row r="85" spans="7:18" ht="12" customHeight="1">
      <c r="G85" s="10"/>
      <c r="J85" s="42"/>
      <c r="N85" s="54"/>
      <c r="R85" s="29"/>
    </row>
    <row r="86" spans="7:18" ht="12" customHeight="1">
      <c r="G86" s="10"/>
      <c r="J86" s="42"/>
      <c r="N86" s="54"/>
      <c r="R86" s="29"/>
    </row>
    <row r="87" spans="7:18" ht="12" customHeight="1">
      <c r="G87" s="10"/>
      <c r="J87" s="42"/>
      <c r="N87" s="54"/>
      <c r="R87" s="29"/>
    </row>
    <row r="88" spans="7:18" ht="12" customHeight="1">
      <c r="G88" s="10"/>
      <c r="J88" s="42"/>
      <c r="N88" s="54"/>
      <c r="R88" s="29"/>
    </row>
    <row r="89" spans="7:18" ht="12" customHeight="1">
      <c r="G89" s="10"/>
      <c r="J89" s="42"/>
      <c r="N89" s="54"/>
      <c r="R89" s="29"/>
    </row>
    <row r="90" spans="7:18" ht="12" customHeight="1">
      <c r="G90" s="10"/>
      <c r="J90" s="42"/>
      <c r="N90" s="54"/>
      <c r="R90" s="29"/>
    </row>
    <row r="91" spans="7:18" ht="12" customHeight="1">
      <c r="G91" s="10"/>
      <c r="J91" s="42"/>
      <c r="N91" s="54"/>
      <c r="R91" s="29"/>
    </row>
    <row r="92" spans="7:18" ht="12" customHeight="1">
      <c r="G92" s="10"/>
      <c r="J92" s="42"/>
      <c r="N92" s="54"/>
      <c r="R92" s="29"/>
    </row>
    <row r="93" spans="7:18" ht="12" customHeight="1">
      <c r="G93" s="10"/>
      <c r="J93" s="42"/>
      <c r="N93" s="54"/>
      <c r="R93" s="29"/>
    </row>
    <row r="94" spans="7:18" ht="12" customHeight="1">
      <c r="G94" s="10"/>
      <c r="J94" s="42"/>
      <c r="N94" s="54"/>
      <c r="R94" s="29"/>
    </row>
    <row r="95" spans="7:18" ht="12" customHeight="1">
      <c r="G95" s="10"/>
      <c r="J95" s="42"/>
      <c r="N95" s="54"/>
      <c r="R95" s="29"/>
    </row>
    <row r="96" spans="7:18" ht="12" customHeight="1">
      <c r="G96" s="10"/>
      <c r="J96" s="42"/>
      <c r="N96" s="54"/>
      <c r="R96" s="29"/>
    </row>
    <row r="97" spans="7:18" ht="12" customHeight="1">
      <c r="G97" s="10"/>
      <c r="J97" s="42"/>
      <c r="N97" s="54"/>
      <c r="R97" s="29"/>
    </row>
    <row r="98" spans="7:18" ht="12" customHeight="1">
      <c r="G98" s="10"/>
      <c r="J98" s="42"/>
      <c r="N98" s="54"/>
      <c r="R98" s="29"/>
    </row>
    <row r="99" spans="7:18" ht="12" customHeight="1">
      <c r="G99" s="10"/>
      <c r="J99" s="42"/>
      <c r="N99" s="54"/>
      <c r="R99" s="29"/>
    </row>
    <row r="100" spans="7:18" ht="12" customHeight="1">
      <c r="G100" s="10"/>
      <c r="J100" s="42"/>
      <c r="N100" s="54"/>
      <c r="R100" s="29"/>
    </row>
  </sheetData>
  <mergeCells count="33">
    <mergeCell ref="A1:W1"/>
    <mergeCell ref="B2:D2"/>
    <mergeCell ref="B3:D3"/>
    <mergeCell ref="B4:D4"/>
    <mergeCell ref="Q4:R4"/>
    <mergeCell ref="G6:I6"/>
    <mergeCell ref="J6:N6"/>
    <mergeCell ref="O6:Q6"/>
    <mergeCell ref="A26:B26"/>
    <mergeCell ref="A28:B28"/>
    <mergeCell ref="L8:L26"/>
    <mergeCell ref="V29:W29"/>
    <mergeCell ref="I30:J30"/>
    <mergeCell ref="K30:L30"/>
    <mergeCell ref="M30:O30"/>
    <mergeCell ref="I31:J31"/>
    <mergeCell ref="K31:L31"/>
    <mergeCell ref="M31:O31"/>
    <mergeCell ref="P31:Q31"/>
    <mergeCell ref="S31:W31"/>
    <mergeCell ref="G32:H32"/>
    <mergeCell ref="P32:Q32"/>
    <mergeCell ref="P33:Q33"/>
    <mergeCell ref="I34:J34"/>
    <mergeCell ref="K34:L34"/>
    <mergeCell ref="M34:O34"/>
    <mergeCell ref="P34:Q34"/>
    <mergeCell ref="G35:I35"/>
    <mergeCell ref="P35:Q35"/>
    <mergeCell ref="I36:J36"/>
    <mergeCell ref="K36:L36"/>
    <mergeCell ref="M36:O36"/>
    <mergeCell ref="P36:Q36"/>
  </mergeCells>
  <phoneticPr fontId="14" type="noConversion"/>
  <pageMargins left="0.74803149606299202" right="0.74803149606299202" top="0.98425196850393704" bottom="0.98425196850393704" header="0" footer="0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DF62-CC28-44D4-AE43-35357DF85267}">
  <sheetPr>
    <pageSetUpPr fitToPage="1"/>
  </sheetPr>
  <dimension ref="A1:W100"/>
  <sheetViews>
    <sheetView zoomScaleNormal="100" workbookViewId="0">
      <selection activeCell="F6" sqref="F6"/>
    </sheetView>
  </sheetViews>
  <sheetFormatPr defaultColWidth="16.6640625" defaultRowHeight="15" customHeight="1"/>
  <cols>
    <col min="1" max="1" width="27.109375" customWidth="1"/>
    <col min="2" max="2" width="7.6640625" customWidth="1"/>
    <col min="3" max="3" width="5.6640625" customWidth="1"/>
    <col min="4" max="4" width="6.33203125" customWidth="1"/>
    <col min="5" max="9" width="7.6640625" customWidth="1"/>
    <col min="10" max="10" width="2.44140625" customWidth="1"/>
    <col min="11" max="11" width="3.6640625" customWidth="1"/>
    <col min="12" max="12" width="7.109375" customWidth="1"/>
    <col min="13" max="13" width="3.6640625" customWidth="1"/>
    <col min="14" max="14" width="2.44140625" customWidth="1"/>
    <col min="15" max="19" width="7.6640625" customWidth="1"/>
    <col min="20" max="21" width="5.6640625" customWidth="1"/>
    <col min="22" max="22" width="7.6640625" customWidth="1"/>
    <col min="23" max="23" width="25.44140625" customWidth="1"/>
    <col min="24" max="24" width="8.6640625" customWidth="1"/>
  </cols>
  <sheetData>
    <row r="1" spans="1:23" ht="12" customHeight="1">
      <c r="A1" s="177" t="s">
        <v>55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3"/>
    </row>
    <row r="2" spans="1:23" ht="12" customHeight="1">
      <c r="A2" s="110" t="s">
        <v>0</v>
      </c>
      <c r="B2" s="176" t="s">
        <v>128</v>
      </c>
      <c r="C2" s="150"/>
      <c r="D2" s="150"/>
      <c r="E2" s="3"/>
      <c r="F2" s="3"/>
      <c r="G2" s="4"/>
      <c r="H2" s="5"/>
      <c r="I2" s="5"/>
      <c r="J2" s="42"/>
      <c r="K2" s="5"/>
      <c r="L2" s="5"/>
      <c r="M2" s="5"/>
      <c r="N2" s="54"/>
      <c r="O2" s="5"/>
      <c r="P2" s="55" t="s">
        <v>1</v>
      </c>
      <c r="Q2" s="113" t="s">
        <v>207</v>
      </c>
      <c r="R2" s="3"/>
      <c r="S2" s="3"/>
      <c r="T2" s="3"/>
      <c r="U2" s="3"/>
      <c r="V2" s="84"/>
      <c r="W2" s="85"/>
    </row>
    <row r="3" spans="1:23" ht="12" customHeight="1">
      <c r="A3" s="109" t="s">
        <v>2</v>
      </c>
      <c r="B3" s="174" t="s">
        <v>3</v>
      </c>
      <c r="C3" s="150"/>
      <c r="D3" s="150"/>
      <c r="E3" s="3"/>
      <c r="F3" s="3"/>
      <c r="G3" s="4"/>
      <c r="H3" s="3"/>
      <c r="I3" s="3"/>
      <c r="J3" s="56"/>
      <c r="K3" s="3"/>
      <c r="L3" s="3"/>
      <c r="M3" s="3"/>
      <c r="N3" s="57"/>
      <c r="O3" s="3"/>
      <c r="P3" s="55" t="s">
        <v>4</v>
      </c>
      <c r="Q3" s="113" t="s">
        <v>56</v>
      </c>
      <c r="R3" s="3"/>
      <c r="S3" s="3"/>
      <c r="T3" s="3"/>
      <c r="U3" s="3"/>
      <c r="V3" s="3"/>
      <c r="W3" s="86"/>
    </row>
    <row r="4" spans="1:23" ht="12" customHeight="1">
      <c r="A4" s="6" t="s">
        <v>5</v>
      </c>
      <c r="B4" s="175"/>
      <c r="C4" s="138"/>
      <c r="D4" s="138"/>
      <c r="E4" s="7"/>
      <c r="F4" s="5"/>
      <c r="G4" s="8"/>
      <c r="H4" s="5"/>
      <c r="I4" s="5"/>
      <c r="J4" s="42"/>
      <c r="K4" s="5"/>
      <c r="L4" s="5"/>
      <c r="M4" s="5"/>
      <c r="N4" s="54"/>
      <c r="O4" s="5"/>
      <c r="P4" s="5" t="s">
        <v>6</v>
      </c>
      <c r="Q4" s="175" t="s">
        <v>7</v>
      </c>
      <c r="R4" s="138"/>
      <c r="S4" s="5"/>
      <c r="T4" s="5"/>
      <c r="U4" s="5"/>
      <c r="V4" s="5"/>
      <c r="W4" s="85"/>
    </row>
    <row r="5" spans="1:23" ht="12" customHeight="1">
      <c r="A5" s="9"/>
      <c r="G5" s="10"/>
      <c r="J5" s="42"/>
      <c r="N5" s="54"/>
      <c r="W5" s="87"/>
    </row>
    <row r="6" spans="1:23" ht="34.5" customHeight="1" thickBot="1">
      <c r="A6" s="11" t="s">
        <v>8</v>
      </c>
      <c r="B6" s="12" t="s">
        <v>9</v>
      </c>
      <c r="C6" s="12" t="s">
        <v>10</v>
      </c>
      <c r="D6" s="13" t="s">
        <v>11</v>
      </c>
      <c r="E6" s="13" t="s">
        <v>12</v>
      </c>
      <c r="F6" s="13" t="s">
        <v>13</v>
      </c>
      <c r="G6" s="159" t="s">
        <v>14</v>
      </c>
      <c r="H6" s="160"/>
      <c r="I6" s="161"/>
      <c r="J6" s="162" t="s">
        <v>15</v>
      </c>
      <c r="K6" s="163"/>
      <c r="L6" s="163"/>
      <c r="M6" s="163"/>
      <c r="N6" s="164"/>
      <c r="O6" s="159" t="s">
        <v>14</v>
      </c>
      <c r="P6" s="160"/>
      <c r="Q6" s="161"/>
      <c r="R6" s="13" t="s">
        <v>13</v>
      </c>
      <c r="S6" s="13" t="s">
        <v>12</v>
      </c>
      <c r="T6" s="13" t="s">
        <v>11</v>
      </c>
      <c r="U6" s="12" t="s">
        <v>10</v>
      </c>
      <c r="V6" s="12" t="s">
        <v>9</v>
      </c>
      <c r="W6" s="88" t="s">
        <v>8</v>
      </c>
    </row>
    <row r="7" spans="1:23" ht="12" customHeight="1" thickTop="1">
      <c r="A7" s="14"/>
      <c r="B7" s="15"/>
      <c r="C7" s="16"/>
      <c r="D7" s="16"/>
      <c r="E7" s="16"/>
      <c r="F7" s="16"/>
      <c r="G7" s="17" t="s">
        <v>16</v>
      </c>
      <c r="H7" s="18" t="s">
        <v>17</v>
      </c>
      <c r="I7" s="18" t="s">
        <v>18</v>
      </c>
      <c r="J7" s="58"/>
      <c r="K7" s="59"/>
      <c r="L7" s="60"/>
      <c r="M7" s="60"/>
      <c r="N7" s="61"/>
      <c r="O7" s="62" t="s">
        <v>16</v>
      </c>
      <c r="P7" s="18" t="s">
        <v>17</v>
      </c>
      <c r="Q7" s="89" t="s">
        <v>18</v>
      </c>
      <c r="R7" s="90"/>
      <c r="S7" s="90"/>
      <c r="T7" s="90"/>
      <c r="U7" s="90"/>
      <c r="V7" s="15"/>
      <c r="W7" s="91"/>
    </row>
    <row r="8" spans="1:23" ht="12" customHeight="1">
      <c r="A8" s="112" t="s">
        <v>129</v>
      </c>
      <c r="B8" s="27" t="s">
        <v>97</v>
      </c>
      <c r="C8" s="21">
        <v>20</v>
      </c>
      <c r="D8" s="28">
        <v>100</v>
      </c>
      <c r="E8" s="22">
        <f t="shared" ref="E8:E25" si="0">C8*D8</f>
        <v>2000</v>
      </c>
      <c r="F8" s="23">
        <v>0.45</v>
      </c>
      <c r="G8" s="24">
        <f>E8*F8</f>
        <v>900</v>
      </c>
      <c r="H8" s="21"/>
      <c r="I8" s="63"/>
      <c r="J8" s="64">
        <v>1</v>
      </c>
      <c r="K8" s="65">
        <v>15</v>
      </c>
      <c r="L8" s="168"/>
      <c r="M8" s="65">
        <v>15</v>
      </c>
      <c r="N8" s="66">
        <v>10</v>
      </c>
      <c r="O8" s="24">
        <f>S8*R8</f>
        <v>900</v>
      </c>
      <c r="Q8" s="24"/>
      <c r="R8" s="23">
        <v>0.45</v>
      </c>
      <c r="S8" s="92">
        <f t="shared" ref="S8:S25" si="1">T8*U8</f>
        <v>2000</v>
      </c>
      <c r="T8" s="28">
        <v>100</v>
      </c>
      <c r="U8" s="92">
        <v>20</v>
      </c>
      <c r="V8" s="27" t="s">
        <v>97</v>
      </c>
      <c r="W8" s="115" t="s">
        <v>136</v>
      </c>
    </row>
    <row r="9" spans="1:23" ht="12" customHeight="1">
      <c r="A9" s="112" t="s">
        <v>130</v>
      </c>
      <c r="B9" s="27" t="s">
        <v>97</v>
      </c>
      <c r="C9" s="21">
        <v>20</v>
      </c>
      <c r="D9" s="28">
        <v>100</v>
      </c>
      <c r="E9" s="22">
        <f t="shared" si="0"/>
        <v>2000</v>
      </c>
      <c r="F9" s="23">
        <v>0.45</v>
      </c>
      <c r="G9" s="25"/>
      <c r="H9" s="25">
        <f>E9*F9</f>
        <v>900</v>
      </c>
      <c r="J9" s="64">
        <v>2</v>
      </c>
      <c r="K9" s="65">
        <v>15</v>
      </c>
      <c r="L9" s="169"/>
      <c r="M9" s="65">
        <v>15</v>
      </c>
      <c r="N9" s="66">
        <v>11</v>
      </c>
      <c r="P9" s="25">
        <f>S9*R9</f>
        <v>1125</v>
      </c>
      <c r="Q9" s="25"/>
      <c r="R9" s="23">
        <v>0.45</v>
      </c>
      <c r="S9" s="92">
        <f t="shared" si="1"/>
        <v>2500</v>
      </c>
      <c r="T9" s="28">
        <v>100</v>
      </c>
      <c r="U9" s="92">
        <v>25</v>
      </c>
      <c r="V9" s="27" t="s">
        <v>97</v>
      </c>
      <c r="W9" s="115" t="s">
        <v>137</v>
      </c>
    </row>
    <row r="10" spans="1:23" ht="12" customHeight="1">
      <c r="A10" s="112" t="s">
        <v>131</v>
      </c>
      <c r="B10" s="27" t="s">
        <v>97</v>
      </c>
      <c r="C10" s="21">
        <v>15</v>
      </c>
      <c r="D10" s="28">
        <v>100</v>
      </c>
      <c r="E10" s="22">
        <f t="shared" si="0"/>
        <v>1500</v>
      </c>
      <c r="F10" s="23">
        <v>0.45</v>
      </c>
      <c r="G10" s="25"/>
      <c r="I10" s="25">
        <f>E10*F10</f>
        <v>675</v>
      </c>
      <c r="J10" s="64">
        <v>3</v>
      </c>
      <c r="K10" s="65">
        <v>15</v>
      </c>
      <c r="L10" s="169"/>
      <c r="M10" s="65">
        <v>15</v>
      </c>
      <c r="N10" s="66">
        <v>12</v>
      </c>
      <c r="O10" s="27"/>
      <c r="P10" s="25"/>
      <c r="Q10" s="25">
        <f>S10*R10</f>
        <v>720</v>
      </c>
      <c r="R10" s="23">
        <v>0.45</v>
      </c>
      <c r="S10" s="92">
        <f t="shared" si="1"/>
        <v>1600</v>
      </c>
      <c r="T10" s="28">
        <v>100</v>
      </c>
      <c r="U10" s="92">
        <v>16</v>
      </c>
      <c r="V10" s="27" t="s">
        <v>97</v>
      </c>
      <c r="W10" s="115" t="s">
        <v>138</v>
      </c>
    </row>
    <row r="11" spans="1:23" ht="12" customHeight="1">
      <c r="A11" s="112" t="s">
        <v>140</v>
      </c>
      <c r="B11" s="27" t="s">
        <v>97</v>
      </c>
      <c r="C11" s="21">
        <v>6</v>
      </c>
      <c r="D11" s="28">
        <v>100</v>
      </c>
      <c r="E11" s="22">
        <f t="shared" si="0"/>
        <v>600</v>
      </c>
      <c r="F11" s="23">
        <v>0.45</v>
      </c>
      <c r="G11" s="25">
        <f>E11*F11</f>
        <v>270</v>
      </c>
      <c r="H11" s="25"/>
      <c r="I11" s="25"/>
      <c r="J11" s="64">
        <v>4</v>
      </c>
      <c r="K11" s="65">
        <v>15</v>
      </c>
      <c r="L11" s="169"/>
      <c r="M11" s="65">
        <v>10</v>
      </c>
      <c r="N11" s="66">
        <v>13</v>
      </c>
      <c r="O11" s="27">
        <f>S11*R11</f>
        <v>450</v>
      </c>
      <c r="Q11" s="27"/>
      <c r="R11" s="23">
        <v>0.45</v>
      </c>
      <c r="S11" s="92">
        <f>T11*U11</f>
        <v>1000</v>
      </c>
      <c r="T11" s="28">
        <v>1000</v>
      </c>
      <c r="U11" s="92">
        <v>1</v>
      </c>
      <c r="V11" s="27" t="s">
        <v>97</v>
      </c>
      <c r="W11" s="115" t="s">
        <v>139</v>
      </c>
    </row>
    <row r="12" spans="1:23" ht="12" customHeight="1">
      <c r="A12" s="112" t="s">
        <v>133</v>
      </c>
      <c r="B12" s="117" t="s">
        <v>19</v>
      </c>
      <c r="C12" s="21">
        <v>1</v>
      </c>
      <c r="D12" s="28">
        <v>1000</v>
      </c>
      <c r="E12" s="22">
        <f t="shared" si="0"/>
        <v>1000</v>
      </c>
      <c r="F12" s="23">
        <v>0.45</v>
      </c>
      <c r="G12" s="25"/>
      <c r="H12" s="27">
        <f>E12*F12</f>
        <v>450</v>
      </c>
      <c r="J12" s="64">
        <v>5</v>
      </c>
      <c r="K12" s="65">
        <v>10</v>
      </c>
      <c r="L12" s="169"/>
      <c r="M12" s="65">
        <v>15</v>
      </c>
      <c r="N12" s="66">
        <v>14</v>
      </c>
      <c r="P12" s="27">
        <f>S12*R12</f>
        <v>0</v>
      </c>
      <c r="Q12" s="27"/>
      <c r="R12" s="23">
        <v>0.45</v>
      </c>
      <c r="S12" s="92">
        <f t="shared" si="1"/>
        <v>0</v>
      </c>
      <c r="T12" s="28">
        <v>100</v>
      </c>
      <c r="U12" s="21">
        <v>0</v>
      </c>
      <c r="V12" s="27" t="s">
        <v>97</v>
      </c>
      <c r="W12" s="115" t="s">
        <v>21</v>
      </c>
    </row>
    <row r="13" spans="1:23" ht="12" customHeight="1">
      <c r="A13" s="112" t="s">
        <v>134</v>
      </c>
      <c r="B13" s="27" t="s">
        <v>97</v>
      </c>
      <c r="C13" s="21">
        <v>22</v>
      </c>
      <c r="D13" s="28">
        <v>100</v>
      </c>
      <c r="E13" s="22">
        <f t="shared" si="0"/>
        <v>2200</v>
      </c>
      <c r="F13" s="23">
        <v>0.45</v>
      </c>
      <c r="G13" s="25"/>
      <c r="I13" s="25">
        <f>E13*F13</f>
        <v>990</v>
      </c>
      <c r="J13" s="64">
        <v>6</v>
      </c>
      <c r="K13" s="65">
        <v>15</v>
      </c>
      <c r="L13" s="169"/>
      <c r="M13" s="67">
        <v>15</v>
      </c>
      <c r="N13" s="66">
        <v>15</v>
      </c>
      <c r="O13" s="27"/>
      <c r="P13" s="27"/>
      <c r="Q13" s="27">
        <f>S13*R13</f>
        <v>1035</v>
      </c>
      <c r="R13" s="23">
        <v>0.45</v>
      </c>
      <c r="S13" s="92">
        <f t="shared" si="1"/>
        <v>2300</v>
      </c>
      <c r="T13" s="28">
        <v>100</v>
      </c>
      <c r="U13" s="21">
        <v>23</v>
      </c>
      <c r="V13" s="27" t="s">
        <v>97</v>
      </c>
      <c r="W13" s="115" t="s">
        <v>141</v>
      </c>
    </row>
    <row r="14" spans="1:23" ht="12" customHeight="1">
      <c r="A14" s="112" t="s">
        <v>135</v>
      </c>
      <c r="B14" s="27" t="s">
        <v>97</v>
      </c>
      <c r="C14" s="21">
        <v>17</v>
      </c>
      <c r="D14" s="28">
        <v>100</v>
      </c>
      <c r="E14" s="22">
        <f t="shared" si="0"/>
        <v>1700</v>
      </c>
      <c r="F14" s="23">
        <v>0.45</v>
      </c>
      <c r="G14" s="25">
        <f>E14*F14</f>
        <v>765</v>
      </c>
      <c r="H14" s="27"/>
      <c r="I14" s="27"/>
      <c r="J14" s="64">
        <v>7</v>
      </c>
      <c r="K14" s="65">
        <v>15</v>
      </c>
      <c r="L14" s="169"/>
      <c r="M14" s="67">
        <v>10</v>
      </c>
      <c r="N14" s="66">
        <v>16</v>
      </c>
      <c r="O14" s="27">
        <f>S14*R14</f>
        <v>450</v>
      </c>
      <c r="Q14" s="27"/>
      <c r="R14" s="23">
        <v>0.45</v>
      </c>
      <c r="S14" s="92">
        <f t="shared" si="1"/>
        <v>1000</v>
      </c>
      <c r="T14" s="28">
        <v>1000</v>
      </c>
      <c r="U14" s="21">
        <v>1</v>
      </c>
      <c r="V14" s="27" t="s">
        <v>97</v>
      </c>
      <c r="W14" s="115" t="s">
        <v>142</v>
      </c>
    </row>
    <row r="15" spans="1:23" ht="12" customHeight="1">
      <c r="A15" s="112" t="s">
        <v>132</v>
      </c>
      <c r="B15" s="27" t="s">
        <v>97</v>
      </c>
      <c r="C15" s="21">
        <v>27</v>
      </c>
      <c r="D15" s="28">
        <v>100</v>
      </c>
      <c r="E15" s="22">
        <f t="shared" si="0"/>
        <v>2700</v>
      </c>
      <c r="F15" s="23">
        <v>0.45</v>
      </c>
      <c r="G15" s="25"/>
      <c r="H15" s="27">
        <f>E15*F15</f>
        <v>1215</v>
      </c>
      <c r="J15" s="64">
        <v>8</v>
      </c>
      <c r="K15" s="68">
        <v>15</v>
      </c>
      <c r="L15" s="169"/>
      <c r="M15" s="67">
        <v>15</v>
      </c>
      <c r="N15" s="66">
        <v>17</v>
      </c>
      <c r="P15" s="27">
        <f>S15*R15</f>
        <v>0</v>
      </c>
      <c r="Q15" s="27"/>
      <c r="R15" s="23">
        <v>0.45</v>
      </c>
      <c r="S15" s="92">
        <f t="shared" si="1"/>
        <v>0</v>
      </c>
      <c r="T15" s="28">
        <v>100</v>
      </c>
      <c r="U15" s="21">
        <v>0</v>
      </c>
      <c r="V15" s="27" t="s">
        <v>97</v>
      </c>
      <c r="W15" s="115" t="s">
        <v>21</v>
      </c>
    </row>
    <row r="16" spans="1:23" ht="12" customHeight="1">
      <c r="A16" s="112" t="s">
        <v>21</v>
      </c>
      <c r="B16" s="27" t="s">
        <v>97</v>
      </c>
      <c r="C16" s="21">
        <v>0</v>
      </c>
      <c r="D16" s="28">
        <v>1000</v>
      </c>
      <c r="E16" s="22">
        <f t="shared" si="0"/>
        <v>0</v>
      </c>
      <c r="F16" s="23">
        <v>0.45</v>
      </c>
      <c r="G16" s="25"/>
      <c r="I16" s="25">
        <f>E16*F16</f>
        <v>0</v>
      </c>
      <c r="J16" s="64">
        <v>9</v>
      </c>
      <c r="K16" s="68">
        <v>15</v>
      </c>
      <c r="L16" s="169"/>
      <c r="M16" s="67">
        <v>15</v>
      </c>
      <c r="N16" s="66">
        <v>18</v>
      </c>
      <c r="O16" s="27"/>
      <c r="P16" s="27"/>
      <c r="Q16" s="27">
        <f>R16*S16</f>
        <v>0</v>
      </c>
      <c r="R16" s="23">
        <v>0.45</v>
      </c>
      <c r="S16" s="92">
        <f t="shared" si="1"/>
        <v>0</v>
      </c>
      <c r="T16" s="28">
        <v>1000</v>
      </c>
      <c r="U16" s="21">
        <v>0</v>
      </c>
      <c r="V16" s="27" t="s">
        <v>97</v>
      </c>
      <c r="W16" s="115" t="s">
        <v>21</v>
      </c>
    </row>
    <row r="17" spans="1:23" ht="12" customHeight="1">
      <c r="A17" s="112" t="s">
        <v>21</v>
      </c>
      <c r="B17" s="27" t="s">
        <v>97</v>
      </c>
      <c r="C17" s="21">
        <v>0</v>
      </c>
      <c r="D17" s="28">
        <v>100</v>
      </c>
      <c r="E17" s="22">
        <f t="shared" si="0"/>
        <v>0</v>
      </c>
      <c r="F17" s="23">
        <v>0.45</v>
      </c>
      <c r="G17" s="27">
        <f>F17*E17</f>
        <v>0</v>
      </c>
      <c r="H17" s="29"/>
      <c r="I17" s="27"/>
      <c r="J17" s="64"/>
      <c r="K17" s="68">
        <v>15</v>
      </c>
      <c r="L17" s="169"/>
      <c r="M17" s="67">
        <v>15</v>
      </c>
      <c r="N17" s="66"/>
      <c r="O17" s="27">
        <f>S17*R17</f>
        <v>0</v>
      </c>
      <c r="Q17" s="27"/>
      <c r="R17" s="23">
        <v>0.45</v>
      </c>
      <c r="S17" s="92">
        <f t="shared" si="1"/>
        <v>0</v>
      </c>
      <c r="T17" s="28">
        <v>100</v>
      </c>
      <c r="U17" s="21">
        <v>0</v>
      </c>
      <c r="V17" s="27" t="s">
        <v>97</v>
      </c>
      <c r="W17" s="115" t="s">
        <v>21</v>
      </c>
    </row>
    <row r="18" spans="1:23" ht="12" customHeight="1">
      <c r="A18" s="19" t="s">
        <v>21</v>
      </c>
      <c r="B18" s="27" t="s">
        <v>97</v>
      </c>
      <c r="C18" s="21">
        <v>0</v>
      </c>
      <c r="D18" s="28">
        <v>100</v>
      </c>
      <c r="E18" s="22">
        <f t="shared" si="0"/>
        <v>0</v>
      </c>
      <c r="F18" s="23">
        <v>0.45</v>
      </c>
      <c r="G18" s="25"/>
      <c r="H18" s="27">
        <f>E18*F18</f>
        <v>0</v>
      </c>
      <c r="J18" s="64"/>
      <c r="K18" s="68">
        <v>10</v>
      </c>
      <c r="L18" s="169"/>
      <c r="M18" s="67">
        <v>30</v>
      </c>
      <c r="N18" s="66"/>
      <c r="P18" s="27">
        <f>R18*S18</f>
        <v>0</v>
      </c>
      <c r="Q18" s="27"/>
      <c r="R18" s="93">
        <v>0.4</v>
      </c>
      <c r="S18" s="92">
        <f t="shared" si="1"/>
        <v>0</v>
      </c>
      <c r="T18" s="22">
        <v>6000</v>
      </c>
      <c r="U18" s="21">
        <v>0</v>
      </c>
      <c r="V18" s="27" t="s">
        <v>97</v>
      </c>
      <c r="W18" s="94" t="s">
        <v>21</v>
      </c>
    </row>
    <row r="19" spans="1:23" ht="12" customHeight="1">
      <c r="A19" s="114" t="s">
        <v>21</v>
      </c>
      <c r="B19" s="27" t="s">
        <v>97</v>
      </c>
      <c r="C19" s="21">
        <v>0</v>
      </c>
      <c r="D19" s="28">
        <v>100</v>
      </c>
      <c r="E19" s="22">
        <f t="shared" si="0"/>
        <v>0</v>
      </c>
      <c r="F19" s="23">
        <v>0.45</v>
      </c>
      <c r="G19" s="25"/>
      <c r="I19" s="27">
        <f>E19*F19</f>
        <v>0</v>
      </c>
      <c r="J19" s="64"/>
      <c r="K19" s="68">
        <v>15</v>
      </c>
      <c r="L19" s="169"/>
      <c r="M19" s="68">
        <v>10</v>
      </c>
      <c r="N19" s="66"/>
      <c r="O19" s="27"/>
      <c r="P19" s="27"/>
      <c r="Q19" s="27">
        <f>R19*S19</f>
        <v>0</v>
      </c>
      <c r="R19" s="93">
        <v>0.45</v>
      </c>
      <c r="S19" s="92">
        <f t="shared" si="1"/>
        <v>0</v>
      </c>
      <c r="T19" s="22">
        <v>1000</v>
      </c>
      <c r="U19" s="92">
        <v>0</v>
      </c>
      <c r="V19" s="27" t="s">
        <v>97</v>
      </c>
      <c r="W19" s="103" t="s">
        <v>21</v>
      </c>
    </row>
    <row r="20" spans="1:23" ht="12" customHeight="1">
      <c r="A20" s="19" t="s">
        <v>21</v>
      </c>
      <c r="B20" s="20" t="s">
        <v>22</v>
      </c>
      <c r="C20" s="21">
        <v>0</v>
      </c>
      <c r="D20" s="31">
        <v>1500</v>
      </c>
      <c r="E20" s="22">
        <f t="shared" si="0"/>
        <v>0</v>
      </c>
      <c r="F20" s="30">
        <v>0.8</v>
      </c>
      <c r="G20" s="27">
        <f>E20*F20</f>
        <v>0</v>
      </c>
      <c r="H20" s="27"/>
      <c r="I20" s="27"/>
      <c r="J20" s="64"/>
      <c r="K20" s="68">
        <v>10</v>
      </c>
      <c r="L20" s="169"/>
      <c r="M20" s="68">
        <v>30</v>
      </c>
      <c r="N20" s="66"/>
      <c r="O20" s="27">
        <f>R20*S20</f>
        <v>0</v>
      </c>
      <c r="Q20" s="27"/>
      <c r="R20" s="93">
        <v>0.6</v>
      </c>
      <c r="S20" s="92">
        <f t="shared" si="1"/>
        <v>0</v>
      </c>
      <c r="T20" s="31">
        <v>3000</v>
      </c>
      <c r="U20" s="92">
        <v>0</v>
      </c>
      <c r="V20" s="27" t="s">
        <v>23</v>
      </c>
      <c r="W20" s="94" t="s">
        <v>21</v>
      </c>
    </row>
    <row r="21" spans="1:23" ht="12" customHeight="1">
      <c r="A21" s="19" t="s">
        <v>21</v>
      </c>
      <c r="B21" s="20" t="s">
        <v>22</v>
      </c>
      <c r="C21" s="21">
        <v>0</v>
      </c>
      <c r="D21" s="31">
        <v>2000</v>
      </c>
      <c r="E21" s="22">
        <f t="shared" si="0"/>
        <v>0</v>
      </c>
      <c r="F21" s="30">
        <v>0.6</v>
      </c>
      <c r="G21" s="25"/>
      <c r="H21" s="27">
        <f>E21*F21</f>
        <v>0</v>
      </c>
      <c r="J21" s="64"/>
      <c r="K21" s="68">
        <v>20</v>
      </c>
      <c r="L21" s="169"/>
      <c r="M21" s="68">
        <v>20</v>
      </c>
      <c r="N21" s="66"/>
      <c r="P21" s="27">
        <f>R21*S21</f>
        <v>0</v>
      </c>
      <c r="Q21" s="27"/>
      <c r="R21" s="93">
        <v>1</v>
      </c>
      <c r="S21" s="92">
        <f t="shared" si="1"/>
        <v>0</v>
      </c>
      <c r="T21" s="31">
        <v>400</v>
      </c>
      <c r="U21" s="92">
        <v>0</v>
      </c>
      <c r="V21" s="27" t="s">
        <v>24</v>
      </c>
      <c r="W21" s="94" t="s">
        <v>21</v>
      </c>
    </row>
    <row r="22" spans="1:23" ht="12" customHeight="1">
      <c r="A22" s="19" t="s">
        <v>21</v>
      </c>
      <c r="B22" s="20" t="s">
        <v>22</v>
      </c>
      <c r="C22" s="21">
        <v>0</v>
      </c>
      <c r="D22" s="28">
        <v>1119</v>
      </c>
      <c r="E22" s="22">
        <f t="shared" si="0"/>
        <v>0</v>
      </c>
      <c r="F22" s="23">
        <v>0.8</v>
      </c>
      <c r="G22" s="25"/>
      <c r="I22" s="27">
        <f>E22*F22</f>
        <v>0</v>
      </c>
      <c r="J22" s="64"/>
      <c r="K22" s="68">
        <v>15</v>
      </c>
      <c r="L22" s="169"/>
      <c r="M22" s="68">
        <v>20</v>
      </c>
      <c r="N22" s="66"/>
      <c r="O22" s="27"/>
      <c r="P22" s="27"/>
      <c r="Q22" s="27">
        <f>R22*S22</f>
        <v>0</v>
      </c>
      <c r="R22" s="23">
        <v>0.8</v>
      </c>
      <c r="S22" s="92">
        <f t="shared" si="1"/>
        <v>0</v>
      </c>
      <c r="T22" s="22">
        <v>1492</v>
      </c>
      <c r="U22" s="92">
        <v>0</v>
      </c>
      <c r="V22" s="27" t="s">
        <v>22</v>
      </c>
      <c r="W22" s="94" t="s">
        <v>21</v>
      </c>
    </row>
    <row r="23" spans="1:23" ht="12" customHeight="1">
      <c r="A23" s="19" t="s">
        <v>21</v>
      </c>
      <c r="B23" s="20" t="s">
        <v>22</v>
      </c>
      <c r="C23" s="21">
        <v>0</v>
      </c>
      <c r="D23" s="31">
        <v>1200</v>
      </c>
      <c r="E23" s="22">
        <f t="shared" si="0"/>
        <v>0</v>
      </c>
      <c r="F23" s="30">
        <v>1</v>
      </c>
      <c r="G23" s="27">
        <f>E23*F23</f>
        <v>0</v>
      </c>
      <c r="H23" s="27"/>
      <c r="I23" s="27"/>
      <c r="J23" s="64"/>
      <c r="K23" s="68">
        <v>20</v>
      </c>
      <c r="L23" s="169"/>
      <c r="M23" s="68">
        <v>20</v>
      </c>
      <c r="N23" s="66"/>
      <c r="O23" s="27">
        <f>R23*S23</f>
        <v>0</v>
      </c>
      <c r="Q23" s="27"/>
      <c r="R23" s="93">
        <v>1</v>
      </c>
      <c r="S23" s="92">
        <f t="shared" si="1"/>
        <v>0</v>
      </c>
      <c r="T23" s="31">
        <v>400</v>
      </c>
      <c r="U23" s="92">
        <v>0</v>
      </c>
      <c r="V23" s="75" t="s">
        <v>24</v>
      </c>
      <c r="W23" s="94" t="s">
        <v>21</v>
      </c>
    </row>
    <row r="24" spans="1:23" ht="12" customHeight="1">
      <c r="A24" s="19" t="s">
        <v>21</v>
      </c>
      <c r="B24" s="20" t="s">
        <v>22</v>
      </c>
      <c r="C24" s="21">
        <v>0</v>
      </c>
      <c r="D24" s="31">
        <v>1200</v>
      </c>
      <c r="E24" s="22">
        <f t="shared" si="0"/>
        <v>0</v>
      </c>
      <c r="F24" s="30">
        <v>1</v>
      </c>
      <c r="G24" s="25"/>
      <c r="H24" s="27">
        <f>E24*F24</f>
        <v>0</v>
      </c>
      <c r="J24" s="64"/>
      <c r="K24" s="68">
        <v>20</v>
      </c>
      <c r="L24" s="169"/>
      <c r="M24" s="68">
        <v>20</v>
      </c>
      <c r="N24" s="66"/>
      <c r="P24" s="27">
        <f>R24*S24</f>
        <v>0</v>
      </c>
      <c r="Q24" s="27"/>
      <c r="R24" s="93">
        <v>1</v>
      </c>
      <c r="S24" s="92">
        <f t="shared" si="1"/>
        <v>0</v>
      </c>
      <c r="T24" s="31">
        <v>400</v>
      </c>
      <c r="U24" s="92">
        <v>0</v>
      </c>
      <c r="V24" s="75" t="s">
        <v>24</v>
      </c>
      <c r="W24" s="94" t="s">
        <v>21</v>
      </c>
    </row>
    <row r="25" spans="1:23" ht="12" customHeight="1">
      <c r="A25" s="19" t="s">
        <v>21</v>
      </c>
      <c r="B25" s="20" t="s">
        <v>22</v>
      </c>
      <c r="C25" s="21">
        <v>0</v>
      </c>
      <c r="D25" s="31">
        <v>1200</v>
      </c>
      <c r="E25" s="22">
        <f t="shared" si="0"/>
        <v>0</v>
      </c>
      <c r="F25" s="30">
        <v>1</v>
      </c>
      <c r="G25" s="25"/>
      <c r="I25" s="27">
        <f>E25*F25</f>
        <v>0</v>
      </c>
      <c r="J25" s="64"/>
      <c r="K25" s="68">
        <v>20</v>
      </c>
      <c r="L25" s="169"/>
      <c r="M25" s="68">
        <v>20</v>
      </c>
      <c r="N25" s="66"/>
      <c r="O25" s="27"/>
      <c r="P25" s="27"/>
      <c r="Q25" s="27">
        <f>R25*S25</f>
        <v>0</v>
      </c>
      <c r="R25" s="93">
        <v>1</v>
      </c>
      <c r="S25" s="92">
        <f t="shared" si="1"/>
        <v>0</v>
      </c>
      <c r="T25" s="31">
        <v>400</v>
      </c>
      <c r="U25" s="92">
        <v>0</v>
      </c>
      <c r="V25" s="75" t="s">
        <v>24</v>
      </c>
      <c r="W25" s="94" t="s">
        <v>21</v>
      </c>
    </row>
    <row r="26" spans="1:23" ht="12" customHeight="1">
      <c r="A26" s="165" t="s">
        <v>25</v>
      </c>
      <c r="B26" s="146"/>
      <c r="C26" s="32"/>
      <c r="D26" s="32"/>
      <c r="E26" s="33">
        <f>SUM(E8:E25)</f>
        <v>13700</v>
      </c>
      <c r="F26" s="32"/>
      <c r="G26" s="34">
        <f t="shared" ref="G26:I26" si="2">SUM(G8:G25)</f>
        <v>1935</v>
      </c>
      <c r="H26" s="27">
        <f t="shared" si="2"/>
        <v>2565</v>
      </c>
      <c r="I26" s="27">
        <f t="shared" si="2"/>
        <v>1665</v>
      </c>
      <c r="J26" s="32"/>
      <c r="K26" s="69"/>
      <c r="L26" s="170"/>
      <c r="M26" s="69"/>
      <c r="N26" s="70"/>
      <c r="O26" s="25">
        <f t="shared" ref="O26:Q26" si="3">SUM(O8:O25)</f>
        <v>1800</v>
      </c>
      <c r="P26" s="34">
        <f t="shared" si="3"/>
        <v>1125</v>
      </c>
      <c r="Q26" s="25">
        <f t="shared" si="3"/>
        <v>1755</v>
      </c>
      <c r="R26" s="27"/>
      <c r="S26" s="95">
        <f>SUM(S8:S25)</f>
        <v>10400</v>
      </c>
      <c r="T26" s="95"/>
      <c r="U26" s="34"/>
      <c r="V26" s="69"/>
      <c r="W26" s="96"/>
    </row>
    <row r="27" spans="1:23" ht="12" customHeight="1">
      <c r="A27" s="35" t="s">
        <v>26</v>
      </c>
      <c r="B27" s="32"/>
      <c r="C27" s="32"/>
      <c r="D27" s="32"/>
      <c r="E27" s="32"/>
      <c r="F27" s="32"/>
      <c r="G27" s="36"/>
      <c r="H27" s="37"/>
      <c r="I27" s="37"/>
      <c r="J27" s="32"/>
      <c r="K27" s="71"/>
      <c r="L27" s="71"/>
      <c r="M27" s="71" t="s">
        <v>206</v>
      </c>
      <c r="N27" s="70"/>
      <c r="O27" s="71"/>
      <c r="P27" s="71"/>
      <c r="Q27" s="71"/>
      <c r="R27" s="37"/>
      <c r="S27" s="71"/>
      <c r="T27" s="71"/>
      <c r="U27" s="37"/>
      <c r="V27" s="71"/>
      <c r="W27" s="96"/>
    </row>
    <row r="28" spans="1:23" ht="12" customHeight="1" thickBot="1">
      <c r="A28" s="166"/>
      <c r="B28" s="167"/>
      <c r="C28" s="38"/>
      <c r="D28" s="38"/>
      <c r="E28" s="38"/>
      <c r="F28" s="38"/>
      <c r="G28" s="39"/>
      <c r="H28" s="40"/>
      <c r="I28" s="37"/>
      <c r="J28" s="38"/>
      <c r="K28" s="72"/>
      <c r="L28" s="72"/>
      <c r="M28" s="72"/>
      <c r="N28" s="73"/>
      <c r="O28" s="72"/>
      <c r="P28" s="72"/>
      <c r="Q28" s="72"/>
      <c r="R28" s="72"/>
      <c r="S28" s="72"/>
      <c r="T28" s="72"/>
      <c r="U28" s="40"/>
      <c r="V28" s="72"/>
      <c r="W28" s="97"/>
    </row>
    <row r="29" spans="1:23" ht="12" customHeight="1" thickTop="1">
      <c r="A29" s="41"/>
      <c r="B29" s="42"/>
      <c r="C29" s="42"/>
      <c r="D29" s="42"/>
      <c r="E29" s="42"/>
      <c r="F29" s="42"/>
      <c r="G29" s="10"/>
      <c r="J29" s="42"/>
      <c r="N29" s="54"/>
      <c r="O29" s="74"/>
      <c r="P29" s="74"/>
      <c r="Q29" s="74"/>
      <c r="V29" s="151"/>
      <c r="W29" s="152"/>
    </row>
    <row r="30" spans="1:23" ht="12" customHeight="1">
      <c r="A30" s="43" t="s">
        <v>27</v>
      </c>
      <c r="B30" s="44"/>
      <c r="C30" s="44"/>
      <c r="D30" s="44"/>
      <c r="E30" s="44"/>
      <c r="F30" s="44"/>
      <c r="G30" s="45"/>
      <c r="H30" s="44"/>
      <c r="I30" s="153" t="s">
        <v>16</v>
      </c>
      <c r="J30" s="140"/>
      <c r="K30" s="153" t="s">
        <v>17</v>
      </c>
      <c r="L30" s="140"/>
      <c r="M30" s="153" t="s">
        <v>18</v>
      </c>
      <c r="N30" s="138"/>
      <c r="O30" s="140"/>
      <c r="P30" s="75"/>
      <c r="Q30" s="20"/>
      <c r="R30" s="20"/>
      <c r="S30" s="98" t="s">
        <v>28</v>
      </c>
      <c r="T30" s="98"/>
      <c r="U30" s="98"/>
      <c r="V30" s="20"/>
      <c r="W30" s="99"/>
    </row>
    <row r="31" spans="1:23" ht="12" customHeight="1">
      <c r="A31" s="46" t="s">
        <v>201</v>
      </c>
      <c r="G31" s="47" t="s">
        <v>29</v>
      </c>
      <c r="H31" s="48"/>
      <c r="I31" s="154">
        <f>G26+O26</f>
        <v>3735</v>
      </c>
      <c r="J31" s="146"/>
      <c r="K31" s="155">
        <f>H26+P26</f>
        <v>3690</v>
      </c>
      <c r="L31" s="146"/>
      <c r="M31" s="154">
        <f>I26+Q26</f>
        <v>3420</v>
      </c>
      <c r="N31" s="150"/>
      <c r="O31" s="146"/>
      <c r="P31" s="149"/>
      <c r="Q31" s="146"/>
      <c r="R31" s="20"/>
      <c r="S31" s="156" t="s">
        <v>30</v>
      </c>
      <c r="T31" s="157"/>
      <c r="U31" s="157"/>
      <c r="V31" s="157"/>
      <c r="W31" s="158"/>
    </row>
    <row r="32" spans="1:23" ht="12" customHeight="1">
      <c r="A32" s="6"/>
      <c r="G32" s="145" t="s">
        <v>31</v>
      </c>
      <c r="H32" s="146"/>
      <c r="I32" s="76"/>
      <c r="J32" s="77"/>
      <c r="K32" s="78"/>
      <c r="L32" s="77"/>
      <c r="M32" s="78"/>
      <c r="N32" s="2"/>
      <c r="O32" s="77"/>
      <c r="P32" s="147">
        <v>500</v>
      </c>
      <c r="Q32" s="146"/>
      <c r="R32" s="20"/>
      <c r="S32" s="100"/>
      <c r="T32" s="100"/>
      <c r="U32" s="100"/>
      <c r="V32" s="101"/>
      <c r="W32" s="96"/>
    </row>
    <row r="33" spans="1:23" ht="12" customHeight="1">
      <c r="A33" s="49" t="s">
        <v>32</v>
      </c>
      <c r="G33" s="47" t="s">
        <v>33</v>
      </c>
      <c r="H33" s="48"/>
      <c r="I33" s="79"/>
      <c r="J33" s="20"/>
      <c r="K33" s="75"/>
      <c r="L33" s="20"/>
      <c r="M33" s="75"/>
      <c r="N33" s="80"/>
      <c r="O33" s="20"/>
      <c r="P33" s="148">
        <f>I31+K31+M31+P32</f>
        <v>11345</v>
      </c>
      <c r="Q33" s="146"/>
      <c r="R33" s="20" t="s">
        <v>34</v>
      </c>
      <c r="S33" s="20"/>
      <c r="T33" s="20"/>
      <c r="U33" s="20"/>
      <c r="V33" s="101"/>
      <c r="W33" s="96"/>
    </row>
    <row r="34" spans="1:23" ht="12" customHeight="1">
      <c r="A34" s="6" t="s">
        <v>205</v>
      </c>
      <c r="G34" s="47" t="s">
        <v>35</v>
      </c>
      <c r="H34" s="48"/>
      <c r="I34" s="149"/>
      <c r="J34" s="146"/>
      <c r="K34" s="149"/>
      <c r="L34" s="146"/>
      <c r="M34" s="149"/>
      <c r="N34" s="150"/>
      <c r="O34" s="146"/>
      <c r="P34" s="147">
        <v>0.8</v>
      </c>
      <c r="Q34" s="146"/>
      <c r="R34" s="20" t="s">
        <v>36</v>
      </c>
      <c r="S34" s="20"/>
      <c r="T34" s="20"/>
      <c r="U34" s="20"/>
      <c r="V34" s="101"/>
      <c r="W34" s="96"/>
    </row>
    <row r="35" spans="1:23" ht="12" customHeight="1">
      <c r="A35" s="6"/>
      <c r="G35" s="137" t="s">
        <v>37</v>
      </c>
      <c r="H35" s="138"/>
      <c r="I35" s="138"/>
      <c r="J35" s="81"/>
      <c r="K35" s="82"/>
      <c r="L35" s="81"/>
      <c r="M35" s="82"/>
      <c r="N35" s="83"/>
      <c r="O35" s="81"/>
      <c r="P35" s="139">
        <f>P33/P34</f>
        <v>14181.25</v>
      </c>
      <c r="Q35" s="140"/>
      <c r="R35" s="81" t="s">
        <v>38</v>
      </c>
      <c r="S35" s="81"/>
      <c r="T35" s="81"/>
      <c r="U35" s="81"/>
      <c r="V35" s="102"/>
      <c r="W35" s="103"/>
    </row>
    <row r="36" spans="1:23" ht="12" customHeight="1" thickBot="1">
      <c r="A36" s="50"/>
      <c r="B36" s="51"/>
      <c r="C36" s="51"/>
      <c r="D36" s="51"/>
      <c r="E36" s="51"/>
      <c r="F36" s="51"/>
      <c r="G36" s="52" t="s">
        <v>39</v>
      </c>
      <c r="H36" s="53"/>
      <c r="I36" s="141"/>
      <c r="J36" s="142"/>
      <c r="K36" s="141"/>
      <c r="L36" s="142"/>
      <c r="M36" s="141"/>
      <c r="N36" s="143"/>
      <c r="O36" s="142"/>
      <c r="P36" s="144">
        <f>ROUNDUP(P33/575,1)</f>
        <v>19.8</v>
      </c>
      <c r="Q36" s="142"/>
      <c r="R36" s="104" t="s">
        <v>40</v>
      </c>
      <c r="S36" s="104"/>
      <c r="T36" s="104"/>
      <c r="U36" s="104"/>
      <c r="V36" s="105"/>
      <c r="W36" s="106"/>
    </row>
    <row r="37" spans="1:23" ht="12" customHeight="1">
      <c r="A37" s="9"/>
      <c r="G37" s="10"/>
      <c r="J37" s="42"/>
      <c r="N37" s="54"/>
      <c r="R37" s="29"/>
      <c r="W37" s="87"/>
    </row>
    <row r="38" spans="1:23" ht="12" customHeight="1" thickBot="1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07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 ht="12" customHeight="1">
      <c r="G49" s="10"/>
      <c r="J49" s="42"/>
      <c r="N49" s="54"/>
      <c r="R49" s="29"/>
    </row>
    <row r="50" spans="7:18" ht="12" customHeight="1">
      <c r="G50" s="10"/>
      <c r="J50" s="42"/>
      <c r="N50" s="54"/>
      <c r="R50" s="29"/>
    </row>
    <row r="51" spans="7:18" ht="12" customHeight="1">
      <c r="G51" s="10"/>
      <c r="J51" s="42"/>
      <c r="N51" s="54"/>
      <c r="R51" s="29"/>
    </row>
    <row r="52" spans="7:18" ht="12" customHeight="1">
      <c r="G52" s="10"/>
      <c r="J52" s="42"/>
      <c r="N52" s="54"/>
      <c r="R52" s="29"/>
    </row>
    <row r="53" spans="7:18" ht="12" customHeight="1">
      <c r="G53" s="10"/>
      <c r="J53" s="42"/>
      <c r="N53" s="54"/>
      <c r="R53" s="29"/>
    </row>
    <row r="54" spans="7:18" ht="12" customHeight="1">
      <c r="G54" s="10"/>
      <c r="J54" s="42"/>
      <c r="N54" s="54"/>
      <c r="R54" s="29"/>
    </row>
    <row r="55" spans="7:18" ht="12" customHeight="1">
      <c r="G55" s="10"/>
      <c r="J55" s="42"/>
      <c r="N55" s="54"/>
      <c r="R55" s="29"/>
    </row>
    <row r="56" spans="7:18" ht="12" customHeight="1">
      <c r="G56" s="10"/>
      <c r="J56" s="42"/>
      <c r="N56" s="54"/>
      <c r="R56" s="29"/>
    </row>
    <row r="57" spans="7:18" ht="12" customHeight="1">
      <c r="G57" s="10"/>
      <c r="J57" s="42"/>
      <c r="N57" s="54"/>
      <c r="R57" s="29"/>
    </row>
    <row r="58" spans="7:18" ht="12" customHeight="1">
      <c r="G58" s="10"/>
      <c r="J58" s="42"/>
      <c r="N58" s="54"/>
      <c r="R58" s="29"/>
    </row>
    <row r="59" spans="7:18" ht="12" customHeight="1">
      <c r="G59" s="10"/>
      <c r="J59" s="42"/>
      <c r="N59" s="54"/>
      <c r="R59" s="29"/>
    </row>
    <row r="60" spans="7:18" ht="12" customHeight="1">
      <c r="G60" s="10"/>
      <c r="J60" s="42"/>
      <c r="N60" s="54"/>
      <c r="R60" s="29"/>
    </row>
    <row r="61" spans="7:18" ht="12" customHeight="1">
      <c r="G61" s="10"/>
      <c r="J61" s="42"/>
      <c r="N61" s="54"/>
      <c r="R61" s="29"/>
    </row>
    <row r="62" spans="7:18" ht="12" customHeight="1">
      <c r="G62" s="10"/>
      <c r="J62" s="42"/>
      <c r="N62" s="54"/>
      <c r="R62" s="29"/>
    </row>
    <row r="63" spans="7:18" ht="12" customHeight="1">
      <c r="G63" s="10"/>
      <c r="J63" s="42"/>
      <c r="N63" s="54"/>
      <c r="R63" s="29"/>
    </row>
    <row r="64" spans="7:18" ht="12" customHeight="1">
      <c r="G64" s="10"/>
      <c r="J64" s="42"/>
      <c r="N64" s="54"/>
      <c r="R64" s="29"/>
    </row>
    <row r="65" spans="7:18" ht="12" customHeight="1">
      <c r="G65" s="10"/>
      <c r="J65" s="42"/>
      <c r="N65" s="54"/>
      <c r="R65" s="29"/>
    </row>
    <row r="66" spans="7:18" ht="12" customHeight="1">
      <c r="G66" s="10"/>
      <c r="J66" s="42"/>
      <c r="N66" s="54"/>
      <c r="R66" s="29"/>
    </row>
    <row r="67" spans="7:18" ht="12" customHeight="1">
      <c r="G67" s="10"/>
      <c r="J67" s="42"/>
      <c r="N67" s="54"/>
      <c r="R67" s="29"/>
    </row>
    <row r="68" spans="7:18" ht="12" customHeight="1">
      <c r="G68" s="10"/>
      <c r="J68" s="42"/>
      <c r="N68" s="54"/>
      <c r="R68" s="29"/>
    </row>
    <row r="69" spans="7:18" ht="12" customHeight="1">
      <c r="G69" s="10"/>
      <c r="J69" s="42"/>
      <c r="N69" s="54"/>
      <c r="R69" s="29"/>
    </row>
    <row r="70" spans="7:18" ht="12" customHeight="1">
      <c r="G70" s="10"/>
      <c r="J70" s="42"/>
      <c r="N70" s="54"/>
      <c r="R70" s="29"/>
    </row>
    <row r="71" spans="7:18" ht="12" customHeight="1">
      <c r="G71" s="10"/>
      <c r="J71" s="42"/>
      <c r="N71" s="54"/>
      <c r="R71" s="29"/>
    </row>
    <row r="72" spans="7:18" ht="12" customHeight="1">
      <c r="G72" s="10"/>
      <c r="J72" s="42"/>
      <c r="N72" s="54"/>
      <c r="R72" s="29"/>
    </row>
    <row r="73" spans="7:18" ht="12" customHeight="1">
      <c r="G73" s="10"/>
      <c r="J73" s="42"/>
      <c r="N73" s="54"/>
      <c r="R73" s="29"/>
    </row>
    <row r="74" spans="7:18" ht="12" customHeight="1">
      <c r="G74" s="10"/>
      <c r="J74" s="42"/>
      <c r="N74" s="54"/>
      <c r="R74" s="29"/>
    </row>
    <row r="75" spans="7:18" ht="12" customHeight="1">
      <c r="G75" s="10"/>
      <c r="J75" s="42"/>
      <c r="N75" s="54"/>
      <c r="R75" s="29"/>
    </row>
    <row r="76" spans="7:18" ht="12" customHeight="1">
      <c r="G76" s="10"/>
      <c r="J76" s="42"/>
      <c r="N76" s="54"/>
      <c r="R76" s="29"/>
    </row>
    <row r="77" spans="7:18" ht="12" customHeight="1">
      <c r="G77" s="10"/>
      <c r="J77" s="42"/>
      <c r="N77" s="54"/>
      <c r="R77" s="29"/>
    </row>
    <row r="78" spans="7:18" ht="12" customHeight="1">
      <c r="G78" s="10"/>
      <c r="J78" s="42"/>
      <c r="N78" s="54"/>
      <c r="R78" s="29"/>
    </row>
    <row r="79" spans="7:18" ht="12" customHeight="1">
      <c r="G79" s="10"/>
      <c r="J79" s="42"/>
      <c r="N79" s="54"/>
      <c r="R79" s="29"/>
    </row>
    <row r="80" spans="7:18" ht="12" customHeight="1">
      <c r="G80" s="10"/>
      <c r="J80" s="42"/>
      <c r="N80" s="54"/>
      <c r="R80" s="29"/>
    </row>
    <row r="81" spans="7:18" ht="12" customHeight="1">
      <c r="G81" s="10"/>
      <c r="J81" s="42"/>
      <c r="N81" s="54"/>
      <c r="R81" s="29"/>
    </row>
    <row r="82" spans="7:18" ht="12" customHeight="1">
      <c r="G82" s="10"/>
      <c r="J82" s="42"/>
      <c r="N82" s="54"/>
      <c r="R82" s="29"/>
    </row>
    <row r="83" spans="7:18" ht="12" customHeight="1">
      <c r="G83" s="10"/>
      <c r="J83" s="42"/>
      <c r="N83" s="54"/>
      <c r="R83" s="29"/>
    </row>
    <row r="84" spans="7:18" ht="12" customHeight="1">
      <c r="G84" s="10"/>
      <c r="J84" s="42"/>
      <c r="N84" s="54"/>
      <c r="R84" s="29"/>
    </row>
    <row r="85" spans="7:18" ht="12" customHeight="1">
      <c r="G85" s="10"/>
      <c r="J85" s="42"/>
      <c r="N85" s="54"/>
      <c r="R85" s="29"/>
    </row>
    <row r="86" spans="7:18" ht="12" customHeight="1">
      <c r="G86" s="10"/>
      <c r="J86" s="42"/>
      <c r="N86" s="54"/>
      <c r="R86" s="29"/>
    </row>
    <row r="87" spans="7:18" ht="12" customHeight="1">
      <c r="G87" s="10"/>
      <c r="J87" s="42"/>
      <c r="N87" s="54"/>
      <c r="R87" s="29"/>
    </row>
    <row r="88" spans="7:18" ht="12" customHeight="1">
      <c r="G88" s="10"/>
      <c r="J88" s="42"/>
      <c r="N88" s="54"/>
      <c r="R88" s="29"/>
    </row>
    <row r="89" spans="7:18" ht="12" customHeight="1">
      <c r="G89" s="10"/>
      <c r="J89" s="42"/>
      <c r="N89" s="54"/>
      <c r="R89" s="29"/>
    </row>
    <row r="90" spans="7:18" ht="12" customHeight="1">
      <c r="G90" s="10"/>
      <c r="J90" s="42"/>
      <c r="N90" s="54"/>
      <c r="R90" s="29"/>
    </row>
    <row r="91" spans="7:18" ht="12" customHeight="1">
      <c r="G91" s="10"/>
      <c r="J91" s="42"/>
      <c r="N91" s="54"/>
      <c r="R91" s="29"/>
    </row>
    <row r="92" spans="7:18" ht="12" customHeight="1">
      <c r="G92" s="10"/>
      <c r="J92" s="42"/>
      <c r="N92" s="54"/>
      <c r="R92" s="29"/>
    </row>
    <row r="93" spans="7:18" ht="12" customHeight="1">
      <c r="G93" s="10"/>
      <c r="J93" s="42"/>
      <c r="N93" s="54"/>
      <c r="R93" s="29"/>
    </row>
    <row r="94" spans="7:18" ht="12" customHeight="1">
      <c r="G94" s="10"/>
      <c r="J94" s="42"/>
      <c r="N94" s="54"/>
      <c r="R94" s="29"/>
    </row>
    <row r="95" spans="7:18" ht="12" customHeight="1">
      <c r="G95" s="10"/>
      <c r="J95" s="42"/>
      <c r="N95" s="54"/>
      <c r="R95" s="29"/>
    </row>
    <row r="96" spans="7:18" ht="12" customHeight="1">
      <c r="G96" s="10"/>
      <c r="J96" s="42"/>
      <c r="N96" s="54"/>
      <c r="R96" s="29"/>
    </row>
    <row r="97" spans="7:18" ht="12" customHeight="1">
      <c r="G97" s="10"/>
      <c r="J97" s="42"/>
      <c r="N97" s="54"/>
      <c r="R97" s="29"/>
    </row>
    <row r="98" spans="7:18" ht="12" customHeight="1">
      <c r="G98" s="10"/>
      <c r="J98" s="42"/>
      <c r="N98" s="54"/>
      <c r="R98" s="29"/>
    </row>
    <row r="99" spans="7:18" ht="12" customHeight="1">
      <c r="G99" s="10"/>
      <c r="J99" s="42"/>
      <c r="N99" s="54"/>
      <c r="R99" s="29"/>
    </row>
    <row r="100" spans="7:18" ht="12" customHeight="1">
      <c r="G100" s="10"/>
      <c r="J100" s="42"/>
      <c r="N100" s="54"/>
      <c r="R100" s="29"/>
    </row>
  </sheetData>
  <mergeCells count="33">
    <mergeCell ref="M31:O31"/>
    <mergeCell ref="P31:Q31"/>
    <mergeCell ref="I31:J31"/>
    <mergeCell ref="K31:L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G32:H32"/>
    <mergeCell ref="P32:Q32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L8:L26"/>
    <mergeCell ref="A26:B26"/>
    <mergeCell ref="A28:B28"/>
  </mergeCells>
  <phoneticPr fontId="15" type="noConversion"/>
  <pageMargins left="0.74803149606299202" right="0.74803149606299202" top="0.98425196850393704" bottom="0.98425196850393704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F6C3-FF6C-4B4B-9C37-2E313BD74138}">
  <sheetPr>
    <pageSetUpPr fitToPage="1"/>
  </sheetPr>
  <dimension ref="A1:W100"/>
  <sheetViews>
    <sheetView zoomScaleNormal="100" workbookViewId="0">
      <selection activeCell="E11" sqref="E11"/>
    </sheetView>
  </sheetViews>
  <sheetFormatPr defaultColWidth="16.6640625" defaultRowHeight="15" customHeight="1"/>
  <cols>
    <col min="1" max="1" width="27.109375" customWidth="1"/>
    <col min="2" max="2" width="7.6640625" customWidth="1"/>
    <col min="3" max="3" width="5.6640625" customWidth="1"/>
    <col min="4" max="4" width="6.33203125" customWidth="1"/>
    <col min="5" max="9" width="7.6640625" customWidth="1"/>
    <col min="10" max="10" width="2.44140625" customWidth="1"/>
    <col min="11" max="11" width="3.6640625" customWidth="1"/>
    <col min="12" max="12" width="7.109375" customWidth="1"/>
    <col min="13" max="13" width="3.6640625" customWidth="1"/>
    <col min="14" max="14" width="2.44140625" customWidth="1"/>
    <col min="15" max="19" width="7.6640625" customWidth="1"/>
    <col min="20" max="21" width="5.6640625" customWidth="1"/>
    <col min="22" max="22" width="7.6640625" customWidth="1"/>
    <col min="23" max="23" width="25.44140625" customWidth="1"/>
    <col min="24" max="24" width="8.6640625" customWidth="1"/>
  </cols>
  <sheetData>
    <row r="1" spans="1:23" ht="12" customHeight="1">
      <c r="A1" s="177" t="s">
        <v>143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3"/>
    </row>
    <row r="2" spans="1:23" ht="12" customHeight="1">
      <c r="A2" s="110" t="s">
        <v>0</v>
      </c>
      <c r="B2" s="176" t="s">
        <v>128</v>
      </c>
      <c r="C2" s="150"/>
      <c r="D2" s="150"/>
      <c r="E2" s="3"/>
      <c r="F2" s="3"/>
      <c r="G2" s="4"/>
      <c r="H2" s="5"/>
      <c r="I2" s="5"/>
      <c r="J2" s="42"/>
      <c r="K2" s="5"/>
      <c r="L2" s="5"/>
      <c r="M2" s="5"/>
      <c r="N2" s="54"/>
      <c r="O2" s="5"/>
      <c r="P2" s="55" t="s">
        <v>1</v>
      </c>
      <c r="Q2" s="3" t="s">
        <v>207</v>
      </c>
      <c r="R2" s="3"/>
      <c r="S2" s="3"/>
      <c r="T2" s="3"/>
      <c r="U2" s="3"/>
      <c r="V2" s="84"/>
      <c r="W2" s="85"/>
    </row>
    <row r="3" spans="1:23" ht="12" customHeight="1">
      <c r="A3" s="109" t="s">
        <v>2</v>
      </c>
      <c r="B3" s="174" t="s">
        <v>3</v>
      </c>
      <c r="C3" s="150"/>
      <c r="D3" s="150"/>
      <c r="E3" s="3"/>
      <c r="F3" s="3"/>
      <c r="G3" s="4"/>
      <c r="H3" s="3"/>
      <c r="I3" s="3"/>
      <c r="J3" s="56"/>
      <c r="K3" s="3"/>
      <c r="L3" s="3"/>
      <c r="M3" s="3"/>
      <c r="N3" s="57"/>
      <c r="O3" s="3"/>
      <c r="P3" s="55" t="s">
        <v>4</v>
      </c>
      <c r="Q3" s="113" t="s">
        <v>57</v>
      </c>
      <c r="R3" s="3"/>
      <c r="S3" s="3"/>
      <c r="T3" s="3"/>
      <c r="U3" s="3"/>
      <c r="V3" s="3"/>
      <c r="W3" s="86"/>
    </row>
    <row r="4" spans="1:23" ht="12" customHeight="1">
      <c r="A4" s="6" t="s">
        <v>5</v>
      </c>
      <c r="B4" s="175"/>
      <c r="C4" s="138"/>
      <c r="D4" s="138"/>
      <c r="E4" s="7"/>
      <c r="F4" s="5"/>
      <c r="G4" s="8"/>
      <c r="H4" s="5"/>
      <c r="I4" s="5"/>
      <c r="J4" s="42"/>
      <c r="K4" s="5"/>
      <c r="L4" s="5"/>
      <c r="M4" s="5"/>
      <c r="N4" s="54"/>
      <c r="O4" s="5"/>
      <c r="P4" s="5" t="s">
        <v>6</v>
      </c>
      <c r="Q4" s="175" t="s">
        <v>7</v>
      </c>
      <c r="R4" s="138"/>
      <c r="S4" s="5"/>
      <c r="T4" s="5"/>
      <c r="U4" s="5"/>
      <c r="V4" s="5"/>
      <c r="W4" s="85"/>
    </row>
    <row r="5" spans="1:23" ht="12" customHeight="1">
      <c r="A5" s="9"/>
      <c r="G5" s="10"/>
      <c r="J5" s="42"/>
      <c r="N5" s="54"/>
      <c r="W5" s="87"/>
    </row>
    <row r="6" spans="1:23" ht="34.5" customHeight="1" thickBot="1">
      <c r="A6" s="11" t="s">
        <v>8</v>
      </c>
      <c r="B6" s="12" t="s">
        <v>9</v>
      </c>
      <c r="C6" s="12" t="s">
        <v>10</v>
      </c>
      <c r="D6" s="13" t="s">
        <v>11</v>
      </c>
      <c r="E6" s="13" t="s">
        <v>12</v>
      </c>
      <c r="F6" s="13" t="s">
        <v>13</v>
      </c>
      <c r="G6" s="159" t="s">
        <v>14</v>
      </c>
      <c r="H6" s="160"/>
      <c r="I6" s="161"/>
      <c r="J6" s="162" t="s">
        <v>15</v>
      </c>
      <c r="K6" s="163"/>
      <c r="L6" s="163"/>
      <c r="M6" s="163"/>
      <c r="N6" s="164"/>
      <c r="O6" s="159" t="s">
        <v>14</v>
      </c>
      <c r="P6" s="160"/>
      <c r="Q6" s="161"/>
      <c r="R6" s="13" t="s">
        <v>13</v>
      </c>
      <c r="S6" s="13" t="s">
        <v>12</v>
      </c>
      <c r="T6" s="13" t="s">
        <v>11</v>
      </c>
      <c r="U6" s="12" t="s">
        <v>10</v>
      </c>
      <c r="V6" s="12" t="s">
        <v>9</v>
      </c>
      <c r="W6" s="88" t="s">
        <v>8</v>
      </c>
    </row>
    <row r="7" spans="1:23" ht="12" customHeight="1" thickTop="1">
      <c r="A7" s="14"/>
      <c r="B7" s="15"/>
      <c r="C7" s="16"/>
      <c r="D7" s="16"/>
      <c r="E7" s="16"/>
      <c r="F7" s="16"/>
      <c r="G7" s="17" t="s">
        <v>16</v>
      </c>
      <c r="H7" s="18" t="s">
        <v>17</v>
      </c>
      <c r="I7" s="18" t="s">
        <v>18</v>
      </c>
      <c r="J7" s="58"/>
      <c r="K7" s="59"/>
      <c r="L7" s="60"/>
      <c r="M7" s="60"/>
      <c r="N7" s="61"/>
      <c r="O7" s="62" t="s">
        <v>16</v>
      </c>
      <c r="P7" s="18" t="s">
        <v>17</v>
      </c>
      <c r="Q7" s="89" t="s">
        <v>18</v>
      </c>
      <c r="R7" s="90"/>
      <c r="S7" s="90"/>
      <c r="T7" s="90"/>
      <c r="U7" s="90"/>
      <c r="V7" s="15"/>
      <c r="W7" s="91"/>
    </row>
    <row r="8" spans="1:23" ht="12" customHeight="1">
      <c r="A8" s="112" t="s">
        <v>58</v>
      </c>
      <c r="B8" s="27" t="s">
        <v>20</v>
      </c>
      <c r="C8" s="21">
        <v>7</v>
      </c>
      <c r="D8" s="28">
        <v>250</v>
      </c>
      <c r="E8" s="22">
        <f t="shared" ref="E8:E25" si="0">C8*D8</f>
        <v>1750</v>
      </c>
      <c r="F8" s="23">
        <v>0.5</v>
      </c>
      <c r="G8" s="24">
        <f>E8*F8</f>
        <v>875</v>
      </c>
      <c r="H8" s="21"/>
      <c r="I8" s="63"/>
      <c r="J8" s="64">
        <v>1</v>
      </c>
      <c r="K8" s="65">
        <v>30</v>
      </c>
      <c r="L8" s="168"/>
      <c r="M8" s="65">
        <v>30</v>
      </c>
      <c r="N8" s="66">
        <v>10</v>
      </c>
      <c r="O8" s="24">
        <f>S8*R8</f>
        <v>1125</v>
      </c>
      <c r="Q8" s="24"/>
      <c r="R8" s="23">
        <v>0.5</v>
      </c>
      <c r="S8" s="92">
        <f t="shared" ref="S8:S25" si="1">T8*U8</f>
        <v>2250</v>
      </c>
      <c r="T8" s="28">
        <v>250</v>
      </c>
      <c r="U8" s="92">
        <v>9</v>
      </c>
      <c r="V8" s="27" t="s">
        <v>20</v>
      </c>
      <c r="W8" s="115" t="s">
        <v>60</v>
      </c>
    </row>
    <row r="9" spans="1:23" ht="12" customHeight="1">
      <c r="A9" s="112" t="s">
        <v>59</v>
      </c>
      <c r="B9" s="27" t="s">
        <v>20</v>
      </c>
      <c r="C9" s="21">
        <v>8</v>
      </c>
      <c r="D9" s="28">
        <v>250</v>
      </c>
      <c r="E9" s="22">
        <f t="shared" si="0"/>
        <v>2000</v>
      </c>
      <c r="F9" s="23">
        <v>0.5</v>
      </c>
      <c r="G9" s="25"/>
      <c r="H9" s="25">
        <f>E9*F9</f>
        <v>1000</v>
      </c>
      <c r="J9" s="64">
        <v>2</v>
      </c>
      <c r="K9" s="65">
        <v>30</v>
      </c>
      <c r="L9" s="169"/>
      <c r="M9" s="65">
        <v>30</v>
      </c>
      <c r="N9" s="66">
        <v>11</v>
      </c>
      <c r="P9" s="25">
        <f>S9*R9</f>
        <v>1375</v>
      </c>
      <c r="Q9" s="25"/>
      <c r="R9" s="23">
        <v>0.5</v>
      </c>
      <c r="S9" s="92">
        <f t="shared" si="1"/>
        <v>2750</v>
      </c>
      <c r="T9" s="28">
        <v>250</v>
      </c>
      <c r="U9" s="92">
        <v>11</v>
      </c>
      <c r="V9" s="27" t="s">
        <v>20</v>
      </c>
      <c r="W9" s="115" t="s">
        <v>67</v>
      </c>
    </row>
    <row r="10" spans="1:23" ht="12" customHeight="1">
      <c r="A10" s="112" t="s">
        <v>144</v>
      </c>
      <c r="B10" s="27" t="s">
        <v>20</v>
      </c>
      <c r="C10" s="21">
        <v>8</v>
      </c>
      <c r="D10" s="28">
        <v>250</v>
      </c>
      <c r="E10" s="22">
        <f t="shared" si="0"/>
        <v>2000</v>
      </c>
      <c r="F10" s="23">
        <v>0.5</v>
      </c>
      <c r="G10" s="25"/>
      <c r="I10" s="25">
        <f>E10*F10</f>
        <v>1000</v>
      </c>
      <c r="J10" s="64">
        <v>3</v>
      </c>
      <c r="K10" s="65">
        <v>30</v>
      </c>
      <c r="L10" s="169"/>
      <c r="M10" s="65">
        <v>30</v>
      </c>
      <c r="N10" s="66">
        <v>12</v>
      </c>
      <c r="O10" s="27"/>
      <c r="P10" s="25"/>
      <c r="Q10" s="25">
        <f>S10*R10</f>
        <v>375</v>
      </c>
      <c r="R10" s="23">
        <v>0.5</v>
      </c>
      <c r="S10" s="92">
        <f t="shared" si="1"/>
        <v>750</v>
      </c>
      <c r="T10" s="28">
        <v>250</v>
      </c>
      <c r="U10" s="92">
        <v>3</v>
      </c>
      <c r="V10" s="27" t="s">
        <v>20</v>
      </c>
      <c r="W10" s="115" t="s">
        <v>148</v>
      </c>
    </row>
    <row r="11" spans="1:23" ht="12" customHeight="1">
      <c r="A11" s="112" t="s">
        <v>145</v>
      </c>
      <c r="B11" s="27" t="s">
        <v>20</v>
      </c>
      <c r="C11" s="21">
        <v>8</v>
      </c>
      <c r="D11" s="28">
        <v>250</v>
      </c>
      <c r="E11" s="22">
        <f t="shared" si="0"/>
        <v>2000</v>
      </c>
      <c r="F11" s="23">
        <v>0.5</v>
      </c>
      <c r="G11" s="25">
        <f>E11*F11</f>
        <v>1000</v>
      </c>
      <c r="H11" s="25"/>
      <c r="I11" s="25"/>
      <c r="J11" s="64">
        <v>4</v>
      </c>
      <c r="K11" s="65">
        <v>30</v>
      </c>
      <c r="L11" s="169"/>
      <c r="M11" s="65">
        <v>30</v>
      </c>
      <c r="N11" s="66">
        <v>13</v>
      </c>
      <c r="O11" s="27">
        <f>S11*R11</f>
        <v>750</v>
      </c>
      <c r="Q11" s="27"/>
      <c r="R11" s="23">
        <v>0.5</v>
      </c>
      <c r="S11" s="92">
        <f>T11*U11</f>
        <v>1500</v>
      </c>
      <c r="T11" s="28">
        <v>250</v>
      </c>
      <c r="U11" s="92">
        <v>6</v>
      </c>
      <c r="V11" s="27" t="s">
        <v>20</v>
      </c>
      <c r="W11" s="115" t="s">
        <v>149</v>
      </c>
    </row>
    <row r="12" spans="1:23" ht="12" customHeight="1">
      <c r="A12" s="112" t="s">
        <v>146</v>
      </c>
      <c r="B12" s="27" t="s">
        <v>20</v>
      </c>
      <c r="C12" s="21">
        <v>4</v>
      </c>
      <c r="D12" s="28">
        <v>250</v>
      </c>
      <c r="E12" s="22">
        <f t="shared" si="0"/>
        <v>1000</v>
      </c>
      <c r="F12" s="23">
        <v>0.5</v>
      </c>
      <c r="G12" s="25"/>
      <c r="H12" s="27">
        <f>E12*F12</f>
        <v>500</v>
      </c>
      <c r="J12" s="64">
        <v>5</v>
      </c>
      <c r="K12" s="65">
        <v>30</v>
      </c>
      <c r="L12" s="169"/>
      <c r="M12" s="65">
        <v>30</v>
      </c>
      <c r="N12" s="66">
        <v>14</v>
      </c>
      <c r="P12" s="27">
        <f>S12*R12</f>
        <v>1000</v>
      </c>
      <c r="Q12" s="27"/>
      <c r="R12" s="23">
        <v>0.5</v>
      </c>
      <c r="S12" s="92">
        <f t="shared" si="1"/>
        <v>2000</v>
      </c>
      <c r="T12" s="28">
        <v>250</v>
      </c>
      <c r="U12" s="21">
        <v>8</v>
      </c>
      <c r="V12" s="27" t="s">
        <v>20</v>
      </c>
      <c r="W12" s="115" t="s">
        <v>150</v>
      </c>
    </row>
    <row r="13" spans="1:23" ht="12" customHeight="1">
      <c r="A13" s="112" t="s">
        <v>147</v>
      </c>
      <c r="B13" s="27" t="s">
        <v>20</v>
      </c>
      <c r="C13" s="21">
        <v>13</v>
      </c>
      <c r="D13" s="28">
        <v>250</v>
      </c>
      <c r="E13" s="22">
        <f t="shared" si="0"/>
        <v>3250</v>
      </c>
      <c r="F13" s="23">
        <v>0.5</v>
      </c>
      <c r="G13" s="25"/>
      <c r="I13" s="25">
        <f>E13*F13</f>
        <v>1625</v>
      </c>
      <c r="J13" s="64">
        <v>6</v>
      </c>
      <c r="K13" s="65">
        <v>30</v>
      </c>
      <c r="L13" s="169"/>
      <c r="M13" s="67">
        <v>30</v>
      </c>
      <c r="N13" s="66">
        <v>15</v>
      </c>
      <c r="O13" s="27"/>
      <c r="P13" s="27"/>
      <c r="Q13" s="27">
        <f>S13*R13</f>
        <v>625</v>
      </c>
      <c r="R13" s="23">
        <v>0.5</v>
      </c>
      <c r="S13" s="92">
        <f t="shared" si="1"/>
        <v>1250</v>
      </c>
      <c r="T13" s="28">
        <v>250</v>
      </c>
      <c r="U13" s="21">
        <v>5</v>
      </c>
      <c r="V13" s="27" t="s">
        <v>20</v>
      </c>
      <c r="W13" s="115" t="s">
        <v>151</v>
      </c>
    </row>
    <row r="14" spans="1:23" ht="12" customHeight="1">
      <c r="A14" s="108" t="s">
        <v>21</v>
      </c>
      <c r="B14" s="27" t="s">
        <v>20</v>
      </c>
      <c r="C14" s="21">
        <v>0</v>
      </c>
      <c r="D14" s="28">
        <v>250</v>
      </c>
      <c r="E14" s="22">
        <f t="shared" si="0"/>
        <v>0</v>
      </c>
      <c r="F14" s="23">
        <v>0.5</v>
      </c>
      <c r="G14" s="25">
        <f>E14*F14</f>
        <v>0</v>
      </c>
      <c r="H14" s="27"/>
      <c r="I14" s="27"/>
      <c r="J14" s="64">
        <v>7</v>
      </c>
      <c r="K14" s="65">
        <v>30</v>
      </c>
      <c r="L14" s="169"/>
      <c r="M14" s="67">
        <v>30</v>
      </c>
      <c r="N14" s="66">
        <v>16</v>
      </c>
      <c r="O14" s="27">
        <f>S14*R14</f>
        <v>0</v>
      </c>
      <c r="Q14" s="27"/>
      <c r="R14" s="23">
        <v>0.5</v>
      </c>
      <c r="S14" s="92">
        <f t="shared" si="1"/>
        <v>0</v>
      </c>
      <c r="T14" s="28">
        <v>250</v>
      </c>
      <c r="U14" s="21">
        <v>0</v>
      </c>
      <c r="V14" s="27" t="s">
        <v>20</v>
      </c>
      <c r="W14" s="103" t="s">
        <v>21</v>
      </c>
    </row>
    <row r="15" spans="1:23" ht="12" customHeight="1">
      <c r="A15" s="108" t="s">
        <v>21</v>
      </c>
      <c r="B15" s="27" t="s">
        <v>20</v>
      </c>
      <c r="C15" s="21">
        <v>0</v>
      </c>
      <c r="D15" s="28">
        <v>250</v>
      </c>
      <c r="E15" s="22">
        <f t="shared" si="0"/>
        <v>0</v>
      </c>
      <c r="F15" s="23">
        <v>0.5</v>
      </c>
      <c r="G15" s="25"/>
      <c r="H15" s="27">
        <f>E15*F15</f>
        <v>0</v>
      </c>
      <c r="J15" s="64">
        <v>8</v>
      </c>
      <c r="K15" s="68">
        <v>30</v>
      </c>
      <c r="L15" s="169"/>
      <c r="M15" s="67">
        <v>30</v>
      </c>
      <c r="N15" s="66">
        <v>17</v>
      </c>
      <c r="P15" s="27">
        <f>S15*R15</f>
        <v>0</v>
      </c>
      <c r="Q15" s="27"/>
      <c r="R15" s="23">
        <v>0.5</v>
      </c>
      <c r="S15" s="92">
        <f t="shared" si="1"/>
        <v>0</v>
      </c>
      <c r="T15" s="28">
        <v>250</v>
      </c>
      <c r="U15" s="21">
        <v>0</v>
      </c>
      <c r="V15" s="27" t="s">
        <v>20</v>
      </c>
      <c r="W15" s="103" t="s">
        <v>21</v>
      </c>
    </row>
    <row r="16" spans="1:23" ht="12" customHeight="1">
      <c r="A16" s="108" t="s">
        <v>21</v>
      </c>
      <c r="B16" s="27" t="s">
        <v>20</v>
      </c>
      <c r="C16" s="21">
        <v>0</v>
      </c>
      <c r="D16" s="28">
        <v>250</v>
      </c>
      <c r="E16" s="22">
        <f t="shared" si="0"/>
        <v>0</v>
      </c>
      <c r="F16" s="23">
        <v>0.5</v>
      </c>
      <c r="G16" s="25"/>
      <c r="I16" s="25">
        <f>E16*F16</f>
        <v>0</v>
      </c>
      <c r="J16" s="64">
        <v>9</v>
      </c>
      <c r="K16" s="68">
        <v>30</v>
      </c>
      <c r="L16" s="169"/>
      <c r="M16" s="67">
        <v>30</v>
      </c>
      <c r="N16" s="66">
        <v>18</v>
      </c>
      <c r="O16" s="27"/>
      <c r="P16" s="27"/>
      <c r="Q16" s="27">
        <f>R16*S16</f>
        <v>0</v>
      </c>
      <c r="R16" s="23">
        <v>0.5</v>
      </c>
      <c r="S16" s="92">
        <f t="shared" si="1"/>
        <v>0</v>
      </c>
      <c r="T16" s="28">
        <v>250</v>
      </c>
      <c r="U16" s="21">
        <v>0</v>
      </c>
      <c r="V16" s="27" t="s">
        <v>20</v>
      </c>
      <c r="W16" s="103" t="s">
        <v>21</v>
      </c>
    </row>
    <row r="17" spans="1:23" ht="12" customHeight="1">
      <c r="A17" s="108" t="s">
        <v>21</v>
      </c>
      <c r="B17" s="27" t="s">
        <v>97</v>
      </c>
      <c r="C17" s="21">
        <v>0</v>
      </c>
      <c r="D17" s="28">
        <v>100</v>
      </c>
      <c r="E17" s="22">
        <f t="shared" si="0"/>
        <v>0</v>
      </c>
      <c r="F17" s="23">
        <v>0.45</v>
      </c>
      <c r="G17" s="27">
        <f>F17*E17</f>
        <v>0</v>
      </c>
      <c r="H17" s="29"/>
      <c r="I17" s="27"/>
      <c r="J17" s="64"/>
      <c r="K17" s="68">
        <v>10</v>
      </c>
      <c r="L17" s="169"/>
      <c r="M17" s="67">
        <v>30</v>
      </c>
      <c r="N17" s="66"/>
      <c r="O17" s="27">
        <f>S17*R17</f>
        <v>0</v>
      </c>
      <c r="Q17" s="27"/>
      <c r="R17" s="23">
        <v>0.45</v>
      </c>
      <c r="S17" s="92">
        <f t="shared" si="1"/>
        <v>0</v>
      </c>
      <c r="T17" s="28">
        <v>100</v>
      </c>
      <c r="U17" s="21">
        <v>0</v>
      </c>
      <c r="V17" s="27" t="s">
        <v>97</v>
      </c>
      <c r="W17" s="103" t="s">
        <v>21</v>
      </c>
    </row>
    <row r="18" spans="1:23" ht="12" customHeight="1">
      <c r="A18" s="19" t="s">
        <v>21</v>
      </c>
      <c r="B18" s="20" t="s">
        <v>19</v>
      </c>
      <c r="C18" s="21">
        <v>0</v>
      </c>
      <c r="D18" s="28">
        <v>100</v>
      </c>
      <c r="E18" s="22">
        <f t="shared" si="0"/>
        <v>0</v>
      </c>
      <c r="F18" s="23">
        <v>0.45</v>
      </c>
      <c r="G18" s="25"/>
      <c r="H18" s="27">
        <f>E18*F18</f>
        <v>0</v>
      </c>
      <c r="J18" s="64"/>
      <c r="K18" s="68">
        <v>10</v>
      </c>
      <c r="L18" s="169"/>
      <c r="M18" s="67">
        <v>30</v>
      </c>
      <c r="N18" s="66"/>
      <c r="P18" s="27">
        <f>R18*S18</f>
        <v>0</v>
      </c>
      <c r="Q18" s="27"/>
      <c r="R18" s="93">
        <v>0.4</v>
      </c>
      <c r="S18" s="92">
        <f t="shared" si="1"/>
        <v>0</v>
      </c>
      <c r="T18" s="22">
        <v>6000</v>
      </c>
      <c r="U18" s="21">
        <v>0</v>
      </c>
      <c r="V18" s="20" t="s">
        <v>22</v>
      </c>
      <c r="W18" s="94" t="s">
        <v>21</v>
      </c>
    </row>
    <row r="19" spans="1:23" ht="12" customHeight="1">
      <c r="A19" s="19" t="s">
        <v>21</v>
      </c>
      <c r="B19" s="27" t="s">
        <v>97</v>
      </c>
      <c r="C19" s="21">
        <v>0</v>
      </c>
      <c r="D19" s="28">
        <v>100</v>
      </c>
      <c r="E19" s="22">
        <f t="shared" si="0"/>
        <v>0</v>
      </c>
      <c r="F19" s="23">
        <v>0.45</v>
      </c>
      <c r="G19" s="25"/>
      <c r="I19" s="27">
        <f>E19*F19</f>
        <v>0</v>
      </c>
      <c r="J19" s="64"/>
      <c r="K19" s="68">
        <v>10</v>
      </c>
      <c r="L19" s="169"/>
      <c r="M19" s="68">
        <v>10</v>
      </c>
      <c r="N19" s="66"/>
      <c r="O19" s="27"/>
      <c r="P19" s="27"/>
      <c r="Q19" s="27">
        <f>R19*S19</f>
        <v>0</v>
      </c>
      <c r="R19" s="93">
        <v>0.45</v>
      </c>
      <c r="S19" s="92">
        <f t="shared" si="1"/>
        <v>0</v>
      </c>
      <c r="T19" s="22">
        <v>1000</v>
      </c>
      <c r="U19" s="92">
        <v>0</v>
      </c>
      <c r="V19" s="27" t="s">
        <v>19</v>
      </c>
      <c r="W19" s="103" t="s">
        <v>21</v>
      </c>
    </row>
    <row r="20" spans="1:23" ht="12" customHeight="1">
      <c r="A20" s="19" t="s">
        <v>21</v>
      </c>
      <c r="B20" s="20" t="s">
        <v>22</v>
      </c>
      <c r="C20" s="21">
        <v>0</v>
      </c>
      <c r="D20" s="31">
        <v>1500</v>
      </c>
      <c r="E20" s="22">
        <f t="shared" si="0"/>
        <v>0</v>
      </c>
      <c r="F20" s="30">
        <v>0.8</v>
      </c>
      <c r="G20" s="27">
        <f>E20*F20</f>
        <v>0</v>
      </c>
      <c r="H20" s="27"/>
      <c r="I20" s="27"/>
      <c r="J20" s="64"/>
      <c r="K20" s="68">
        <v>10</v>
      </c>
      <c r="L20" s="169"/>
      <c r="M20" s="68">
        <v>30</v>
      </c>
      <c r="N20" s="66"/>
      <c r="O20" s="27">
        <f>R20*S20</f>
        <v>0</v>
      </c>
      <c r="Q20" s="27"/>
      <c r="R20" s="93">
        <v>0.6</v>
      </c>
      <c r="S20" s="92">
        <f t="shared" si="1"/>
        <v>0</v>
      </c>
      <c r="T20" s="31">
        <v>3000</v>
      </c>
      <c r="U20" s="92">
        <v>0</v>
      </c>
      <c r="V20" s="27" t="s">
        <v>23</v>
      </c>
      <c r="W20" s="94" t="s">
        <v>21</v>
      </c>
    </row>
    <row r="21" spans="1:23" ht="12" customHeight="1">
      <c r="A21" s="19" t="s">
        <v>21</v>
      </c>
      <c r="B21" s="20" t="s">
        <v>22</v>
      </c>
      <c r="C21" s="21">
        <v>0</v>
      </c>
      <c r="D21" s="31">
        <v>2000</v>
      </c>
      <c r="E21" s="22">
        <f t="shared" si="0"/>
        <v>0</v>
      </c>
      <c r="F21" s="30">
        <v>0.6</v>
      </c>
      <c r="G21" s="25"/>
      <c r="H21" s="27">
        <f>E21*F21</f>
        <v>0</v>
      </c>
      <c r="J21" s="64"/>
      <c r="K21" s="68">
        <v>20</v>
      </c>
      <c r="L21" s="169"/>
      <c r="M21" s="68">
        <v>20</v>
      </c>
      <c r="N21" s="66"/>
      <c r="P21" s="27">
        <f>R21*S21</f>
        <v>0</v>
      </c>
      <c r="Q21" s="27"/>
      <c r="R21" s="93">
        <v>1</v>
      </c>
      <c r="S21" s="92">
        <f t="shared" si="1"/>
        <v>0</v>
      </c>
      <c r="T21" s="31">
        <v>400</v>
      </c>
      <c r="U21" s="92">
        <v>0</v>
      </c>
      <c r="V21" s="27" t="s">
        <v>24</v>
      </c>
      <c r="W21" s="94" t="s">
        <v>21</v>
      </c>
    </row>
    <row r="22" spans="1:23" ht="12" customHeight="1">
      <c r="A22" s="19" t="s">
        <v>21</v>
      </c>
      <c r="B22" s="20" t="s">
        <v>22</v>
      </c>
      <c r="C22" s="21">
        <v>0</v>
      </c>
      <c r="D22" s="28">
        <v>1119</v>
      </c>
      <c r="E22" s="22">
        <f t="shared" si="0"/>
        <v>0</v>
      </c>
      <c r="F22" s="23">
        <v>0.8</v>
      </c>
      <c r="G22" s="25"/>
      <c r="I22" s="27">
        <f>E22*F22</f>
        <v>0</v>
      </c>
      <c r="J22" s="64"/>
      <c r="K22" s="68">
        <v>15</v>
      </c>
      <c r="L22" s="169"/>
      <c r="M22" s="68">
        <v>20</v>
      </c>
      <c r="N22" s="66"/>
      <c r="O22" s="27"/>
      <c r="P22" s="27"/>
      <c r="Q22" s="27">
        <f>R22*S22</f>
        <v>0</v>
      </c>
      <c r="R22" s="23">
        <v>0.8</v>
      </c>
      <c r="S22" s="92">
        <f t="shared" si="1"/>
        <v>0</v>
      </c>
      <c r="T22" s="22">
        <v>1492</v>
      </c>
      <c r="U22" s="92">
        <v>0</v>
      </c>
      <c r="V22" s="27" t="s">
        <v>22</v>
      </c>
      <c r="W22" s="94" t="s">
        <v>21</v>
      </c>
    </row>
    <row r="23" spans="1:23" ht="12" customHeight="1">
      <c r="A23" s="19" t="s">
        <v>21</v>
      </c>
      <c r="B23" s="20" t="s">
        <v>22</v>
      </c>
      <c r="C23" s="21">
        <v>0</v>
      </c>
      <c r="D23" s="31">
        <v>1200</v>
      </c>
      <c r="E23" s="22">
        <f t="shared" si="0"/>
        <v>0</v>
      </c>
      <c r="F23" s="30">
        <v>1</v>
      </c>
      <c r="G23" s="27">
        <f>E23*F23</f>
        <v>0</v>
      </c>
      <c r="H23" s="27"/>
      <c r="I23" s="27"/>
      <c r="J23" s="64"/>
      <c r="K23" s="68">
        <v>20</v>
      </c>
      <c r="L23" s="169"/>
      <c r="M23" s="68">
        <v>20</v>
      </c>
      <c r="N23" s="66"/>
      <c r="O23" s="27">
        <f>R23*S23</f>
        <v>0</v>
      </c>
      <c r="Q23" s="27"/>
      <c r="R23" s="93">
        <v>1</v>
      </c>
      <c r="S23" s="92">
        <f t="shared" si="1"/>
        <v>0</v>
      </c>
      <c r="T23" s="31">
        <v>400</v>
      </c>
      <c r="U23" s="92">
        <v>0</v>
      </c>
      <c r="V23" s="75" t="s">
        <v>24</v>
      </c>
      <c r="W23" s="94" t="s">
        <v>21</v>
      </c>
    </row>
    <row r="24" spans="1:23" ht="12" customHeight="1">
      <c r="A24" s="19" t="s">
        <v>21</v>
      </c>
      <c r="B24" s="20" t="s">
        <v>22</v>
      </c>
      <c r="C24" s="21">
        <v>0</v>
      </c>
      <c r="D24" s="31">
        <v>1200</v>
      </c>
      <c r="E24" s="22">
        <f t="shared" si="0"/>
        <v>0</v>
      </c>
      <c r="F24" s="30">
        <v>1</v>
      </c>
      <c r="G24" s="25"/>
      <c r="H24" s="27">
        <f>E24*F24</f>
        <v>0</v>
      </c>
      <c r="J24" s="64"/>
      <c r="K24" s="68">
        <v>20</v>
      </c>
      <c r="L24" s="169"/>
      <c r="M24" s="68">
        <v>20</v>
      </c>
      <c r="N24" s="66"/>
      <c r="P24" s="27">
        <f>R24*S24</f>
        <v>0</v>
      </c>
      <c r="Q24" s="27"/>
      <c r="R24" s="93">
        <v>1</v>
      </c>
      <c r="S24" s="92">
        <f t="shared" si="1"/>
        <v>0</v>
      </c>
      <c r="T24" s="31">
        <v>400</v>
      </c>
      <c r="U24" s="92">
        <v>0</v>
      </c>
      <c r="V24" s="75" t="s">
        <v>24</v>
      </c>
      <c r="W24" s="94" t="s">
        <v>21</v>
      </c>
    </row>
    <row r="25" spans="1:23" ht="12" customHeight="1">
      <c r="A25" s="19" t="s">
        <v>21</v>
      </c>
      <c r="B25" s="20" t="s">
        <v>22</v>
      </c>
      <c r="C25" s="21">
        <v>0</v>
      </c>
      <c r="D25" s="31">
        <v>1200</v>
      </c>
      <c r="E25" s="22">
        <f t="shared" si="0"/>
        <v>0</v>
      </c>
      <c r="F25" s="30">
        <v>1</v>
      </c>
      <c r="G25" s="25"/>
      <c r="I25" s="27">
        <f>E25*F25</f>
        <v>0</v>
      </c>
      <c r="J25" s="64"/>
      <c r="K25" s="68">
        <v>20</v>
      </c>
      <c r="L25" s="169"/>
      <c r="M25" s="68">
        <v>20</v>
      </c>
      <c r="N25" s="66"/>
      <c r="O25" s="27"/>
      <c r="P25" s="27"/>
      <c r="Q25" s="27">
        <f>R25*S25</f>
        <v>0</v>
      </c>
      <c r="R25" s="93">
        <v>1</v>
      </c>
      <c r="S25" s="92">
        <f t="shared" si="1"/>
        <v>0</v>
      </c>
      <c r="T25" s="31">
        <v>400</v>
      </c>
      <c r="U25" s="92">
        <v>0</v>
      </c>
      <c r="V25" s="75" t="s">
        <v>24</v>
      </c>
      <c r="W25" s="94" t="s">
        <v>21</v>
      </c>
    </row>
    <row r="26" spans="1:23" ht="12" customHeight="1">
      <c r="A26" s="165" t="s">
        <v>25</v>
      </c>
      <c r="B26" s="146"/>
      <c r="C26" s="32"/>
      <c r="D26" s="32"/>
      <c r="E26" s="33">
        <f>SUM(E8:E25)</f>
        <v>12000</v>
      </c>
      <c r="F26" s="32"/>
      <c r="G26" s="34">
        <f t="shared" ref="G26:I26" si="2">SUM(G8:G25)</f>
        <v>1875</v>
      </c>
      <c r="H26" s="27">
        <f t="shared" si="2"/>
        <v>1500</v>
      </c>
      <c r="I26" s="27">
        <f t="shared" si="2"/>
        <v>2625</v>
      </c>
      <c r="J26" s="32"/>
      <c r="K26" s="69"/>
      <c r="L26" s="170"/>
      <c r="M26" s="69"/>
      <c r="N26" s="70"/>
      <c r="O26" s="25">
        <f t="shared" ref="O26:Q26" si="3">SUM(O8:O25)</f>
        <v>1875</v>
      </c>
      <c r="P26" s="34">
        <f t="shared" si="3"/>
        <v>2375</v>
      </c>
      <c r="Q26" s="25">
        <f t="shared" si="3"/>
        <v>1000</v>
      </c>
      <c r="R26" s="27"/>
      <c r="S26" s="95">
        <f>SUM(S8:S25)</f>
        <v>10500</v>
      </c>
      <c r="T26" s="95"/>
      <c r="U26" s="34"/>
      <c r="V26" s="69"/>
      <c r="W26" s="96"/>
    </row>
    <row r="27" spans="1:23" ht="12" customHeight="1">
      <c r="A27" s="35" t="s">
        <v>26</v>
      </c>
      <c r="B27" s="32"/>
      <c r="C27" s="32"/>
      <c r="D27" s="32"/>
      <c r="E27" s="32"/>
      <c r="F27" s="32"/>
      <c r="G27" s="36"/>
      <c r="H27" s="37"/>
      <c r="I27" s="37"/>
      <c r="J27" s="32"/>
      <c r="K27" s="71"/>
      <c r="L27" s="71"/>
      <c r="M27" s="71" t="s">
        <v>206</v>
      </c>
      <c r="N27" s="70"/>
      <c r="O27" s="71"/>
      <c r="P27" s="71"/>
      <c r="Q27" s="71"/>
      <c r="R27" s="37"/>
      <c r="S27" s="71"/>
      <c r="T27" s="71"/>
      <c r="U27" s="37"/>
      <c r="V27" s="71"/>
      <c r="W27" s="96"/>
    </row>
    <row r="28" spans="1:23" ht="12" customHeight="1" thickBot="1">
      <c r="A28" s="166"/>
      <c r="B28" s="167"/>
      <c r="C28" s="38"/>
      <c r="D28" s="38"/>
      <c r="E28" s="38"/>
      <c r="F28" s="38"/>
      <c r="G28" s="39"/>
      <c r="H28" s="40"/>
      <c r="I28" s="37"/>
      <c r="J28" s="38"/>
      <c r="K28" s="72"/>
      <c r="L28" s="72"/>
      <c r="M28" s="72"/>
      <c r="N28" s="73"/>
      <c r="O28" s="72"/>
      <c r="P28" s="72"/>
      <c r="Q28" s="72"/>
      <c r="R28" s="72"/>
      <c r="S28" s="72"/>
      <c r="T28" s="72"/>
      <c r="U28" s="40"/>
      <c r="V28" s="72"/>
      <c r="W28" s="97"/>
    </row>
    <row r="29" spans="1:23" ht="12" customHeight="1" thickTop="1">
      <c r="A29" s="41"/>
      <c r="B29" s="42"/>
      <c r="C29" s="42"/>
      <c r="D29" s="42"/>
      <c r="E29" s="42"/>
      <c r="F29" s="42"/>
      <c r="G29" s="10"/>
      <c r="J29" s="42"/>
      <c r="N29" s="54"/>
      <c r="O29" s="74"/>
      <c r="P29" s="74"/>
      <c r="Q29" s="74"/>
      <c r="V29" s="151"/>
      <c r="W29" s="152"/>
    </row>
    <row r="30" spans="1:23" ht="12" customHeight="1">
      <c r="A30" s="43" t="s">
        <v>27</v>
      </c>
      <c r="B30" s="44"/>
      <c r="C30" s="44"/>
      <c r="D30" s="44"/>
      <c r="E30" s="44"/>
      <c r="F30" s="44"/>
      <c r="G30" s="45"/>
      <c r="H30" s="44"/>
      <c r="I30" s="153" t="s">
        <v>16</v>
      </c>
      <c r="J30" s="140"/>
      <c r="K30" s="153" t="s">
        <v>17</v>
      </c>
      <c r="L30" s="140"/>
      <c r="M30" s="153" t="s">
        <v>18</v>
      </c>
      <c r="N30" s="138"/>
      <c r="O30" s="140"/>
      <c r="P30" s="75"/>
      <c r="Q30" s="20"/>
      <c r="R30" s="20"/>
      <c r="S30" s="98" t="s">
        <v>28</v>
      </c>
      <c r="T30" s="98"/>
      <c r="U30" s="98"/>
      <c r="V30" s="20"/>
      <c r="W30" s="99"/>
    </row>
    <row r="31" spans="1:23" ht="12" customHeight="1">
      <c r="A31" s="46" t="s">
        <v>201</v>
      </c>
      <c r="G31" s="47" t="s">
        <v>29</v>
      </c>
      <c r="H31" s="48"/>
      <c r="I31" s="154">
        <f>G26+O26</f>
        <v>3750</v>
      </c>
      <c r="J31" s="146"/>
      <c r="K31" s="155">
        <f>H26+P26</f>
        <v>3875</v>
      </c>
      <c r="L31" s="146"/>
      <c r="M31" s="154">
        <f>I26+Q26</f>
        <v>3625</v>
      </c>
      <c r="N31" s="150"/>
      <c r="O31" s="146"/>
      <c r="P31" s="149"/>
      <c r="Q31" s="146"/>
      <c r="R31" s="20"/>
      <c r="S31" s="156" t="s">
        <v>30</v>
      </c>
      <c r="T31" s="157"/>
      <c r="U31" s="157"/>
      <c r="V31" s="157"/>
      <c r="W31" s="158"/>
    </row>
    <row r="32" spans="1:23" ht="12" customHeight="1">
      <c r="A32" s="6"/>
      <c r="G32" s="145" t="s">
        <v>31</v>
      </c>
      <c r="H32" s="146"/>
      <c r="I32" s="76"/>
      <c r="J32" s="77"/>
      <c r="K32" s="78"/>
      <c r="L32" s="77"/>
      <c r="M32" s="78"/>
      <c r="N32" s="2"/>
      <c r="O32" s="77"/>
      <c r="P32" s="147">
        <v>500</v>
      </c>
      <c r="Q32" s="146"/>
      <c r="R32" s="20"/>
      <c r="S32" s="100"/>
      <c r="T32" s="100"/>
      <c r="U32" s="100"/>
      <c r="V32" s="101"/>
      <c r="W32" s="96"/>
    </row>
    <row r="33" spans="1:23" ht="12" customHeight="1">
      <c r="A33" s="49" t="s">
        <v>32</v>
      </c>
      <c r="G33" s="47" t="s">
        <v>33</v>
      </c>
      <c r="H33" s="48"/>
      <c r="I33" s="79"/>
      <c r="J33" s="20"/>
      <c r="K33" s="75"/>
      <c r="L33" s="20"/>
      <c r="M33" s="75"/>
      <c r="N33" s="80"/>
      <c r="O33" s="20"/>
      <c r="P33" s="148">
        <f>I31+K31+M31+P32</f>
        <v>11750</v>
      </c>
      <c r="Q33" s="146"/>
      <c r="R33" s="20" t="s">
        <v>34</v>
      </c>
      <c r="S33" s="20"/>
      <c r="T33" s="20"/>
      <c r="U33" s="20"/>
      <c r="V33" s="101"/>
      <c r="W33" s="96"/>
    </row>
    <row r="34" spans="1:23" ht="12" customHeight="1">
      <c r="A34" s="6" t="s">
        <v>205</v>
      </c>
      <c r="G34" s="47" t="s">
        <v>35</v>
      </c>
      <c r="H34" s="48"/>
      <c r="I34" s="149"/>
      <c r="J34" s="146"/>
      <c r="K34" s="149"/>
      <c r="L34" s="146"/>
      <c r="M34" s="149"/>
      <c r="N34" s="150"/>
      <c r="O34" s="146"/>
      <c r="P34" s="147">
        <v>0.8</v>
      </c>
      <c r="Q34" s="146"/>
      <c r="R34" s="20" t="s">
        <v>36</v>
      </c>
      <c r="S34" s="20"/>
      <c r="T34" s="20"/>
      <c r="U34" s="20"/>
      <c r="V34" s="101"/>
      <c r="W34" s="96"/>
    </row>
    <row r="35" spans="1:23" ht="12" customHeight="1">
      <c r="A35" s="6"/>
      <c r="G35" s="137" t="s">
        <v>37</v>
      </c>
      <c r="H35" s="138"/>
      <c r="I35" s="138"/>
      <c r="J35" s="81"/>
      <c r="K35" s="82"/>
      <c r="L35" s="81"/>
      <c r="M35" s="82"/>
      <c r="N35" s="83"/>
      <c r="O35" s="81"/>
      <c r="P35" s="139">
        <f>P33/P34</f>
        <v>14687.5</v>
      </c>
      <c r="Q35" s="140"/>
      <c r="R35" s="81" t="s">
        <v>38</v>
      </c>
      <c r="S35" s="81"/>
      <c r="T35" s="81"/>
      <c r="U35" s="81"/>
      <c r="V35" s="102"/>
      <c r="W35" s="103"/>
    </row>
    <row r="36" spans="1:23" ht="12" customHeight="1" thickBot="1">
      <c r="A36" s="50"/>
      <c r="B36" s="51"/>
      <c r="C36" s="51"/>
      <c r="D36" s="51"/>
      <c r="E36" s="51"/>
      <c r="F36" s="51"/>
      <c r="G36" s="52" t="s">
        <v>39</v>
      </c>
      <c r="H36" s="53"/>
      <c r="I36" s="141"/>
      <c r="J36" s="142"/>
      <c r="K36" s="141"/>
      <c r="L36" s="142"/>
      <c r="M36" s="141"/>
      <c r="N36" s="143"/>
      <c r="O36" s="142"/>
      <c r="P36" s="144">
        <f>ROUNDUP(P33/575,1)</f>
        <v>20.5</v>
      </c>
      <c r="Q36" s="142"/>
      <c r="R36" s="104" t="s">
        <v>40</v>
      </c>
      <c r="S36" s="104"/>
      <c r="T36" s="104"/>
      <c r="U36" s="104"/>
      <c r="V36" s="105"/>
      <c r="W36" s="106"/>
    </row>
    <row r="37" spans="1:23" ht="12" customHeight="1">
      <c r="A37" s="9"/>
      <c r="G37" s="10"/>
      <c r="J37" s="42"/>
      <c r="N37" s="54"/>
      <c r="R37" s="29"/>
      <c r="W37" s="87"/>
    </row>
    <row r="38" spans="1:23" ht="12" customHeight="1" thickBot="1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07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 ht="12" customHeight="1">
      <c r="G49" s="10"/>
      <c r="J49" s="42"/>
      <c r="N49" s="54"/>
      <c r="R49" s="29"/>
    </row>
    <row r="50" spans="7:18" ht="12" customHeight="1">
      <c r="G50" s="10"/>
      <c r="J50" s="42"/>
      <c r="N50" s="54"/>
      <c r="R50" s="29"/>
    </row>
    <row r="51" spans="7:18" ht="12" customHeight="1">
      <c r="G51" s="10"/>
      <c r="J51" s="42"/>
      <c r="N51" s="54"/>
      <c r="R51" s="29"/>
    </row>
    <row r="52" spans="7:18" ht="12" customHeight="1">
      <c r="G52" s="10"/>
      <c r="J52" s="42"/>
      <c r="N52" s="54"/>
      <c r="R52" s="29"/>
    </row>
    <row r="53" spans="7:18" ht="12" customHeight="1">
      <c r="G53" s="10"/>
      <c r="J53" s="42"/>
      <c r="N53" s="54"/>
      <c r="R53" s="29"/>
    </row>
    <row r="54" spans="7:18" ht="12" customHeight="1">
      <c r="G54" s="10"/>
      <c r="J54" s="42"/>
      <c r="N54" s="54"/>
      <c r="R54" s="29"/>
    </row>
    <row r="55" spans="7:18" ht="12" customHeight="1">
      <c r="G55" s="10"/>
      <c r="J55" s="42"/>
      <c r="N55" s="54"/>
      <c r="R55" s="29"/>
    </row>
    <row r="56" spans="7:18" ht="12" customHeight="1">
      <c r="G56" s="10"/>
      <c r="J56" s="42"/>
      <c r="N56" s="54"/>
      <c r="R56" s="29"/>
    </row>
    <row r="57" spans="7:18" ht="12" customHeight="1">
      <c r="G57" s="10"/>
      <c r="J57" s="42"/>
      <c r="N57" s="54"/>
      <c r="R57" s="29"/>
    </row>
    <row r="58" spans="7:18" ht="12" customHeight="1">
      <c r="G58" s="10"/>
      <c r="J58" s="42"/>
      <c r="N58" s="54"/>
      <c r="R58" s="29"/>
    </row>
    <row r="59" spans="7:18" ht="12" customHeight="1">
      <c r="G59" s="10"/>
      <c r="J59" s="42"/>
      <c r="N59" s="54"/>
      <c r="R59" s="29"/>
    </row>
    <row r="60" spans="7:18" ht="12" customHeight="1">
      <c r="G60" s="10"/>
      <c r="J60" s="42"/>
      <c r="N60" s="54"/>
      <c r="R60" s="29"/>
    </row>
    <row r="61" spans="7:18" ht="12" customHeight="1">
      <c r="G61" s="10"/>
      <c r="J61" s="42"/>
      <c r="N61" s="54"/>
      <c r="R61" s="29"/>
    </row>
    <row r="62" spans="7:18" ht="12" customHeight="1">
      <c r="G62" s="10"/>
      <c r="J62" s="42"/>
      <c r="N62" s="54"/>
      <c r="R62" s="29"/>
    </row>
    <row r="63" spans="7:18" ht="12" customHeight="1">
      <c r="G63" s="10"/>
      <c r="J63" s="42"/>
      <c r="N63" s="54"/>
      <c r="R63" s="29"/>
    </row>
    <row r="64" spans="7:18" ht="12" customHeight="1">
      <c r="G64" s="10"/>
      <c r="J64" s="42"/>
      <c r="N64" s="54"/>
      <c r="R64" s="29"/>
    </row>
    <row r="65" spans="7:18" ht="12" customHeight="1">
      <c r="G65" s="10"/>
      <c r="J65" s="42"/>
      <c r="N65" s="54"/>
      <c r="R65" s="29"/>
    </row>
    <row r="66" spans="7:18" ht="12" customHeight="1">
      <c r="G66" s="10"/>
      <c r="J66" s="42"/>
      <c r="N66" s="54"/>
      <c r="R66" s="29"/>
    </row>
    <row r="67" spans="7:18" ht="12" customHeight="1">
      <c r="G67" s="10"/>
      <c r="J67" s="42"/>
      <c r="N67" s="54"/>
      <c r="R67" s="29"/>
    </row>
    <row r="68" spans="7:18" ht="12" customHeight="1">
      <c r="G68" s="10"/>
      <c r="J68" s="42"/>
      <c r="N68" s="54"/>
      <c r="R68" s="29"/>
    </row>
    <row r="69" spans="7:18" ht="12" customHeight="1">
      <c r="G69" s="10"/>
      <c r="J69" s="42"/>
      <c r="N69" s="54"/>
      <c r="R69" s="29"/>
    </row>
    <row r="70" spans="7:18" ht="12" customHeight="1">
      <c r="G70" s="10"/>
      <c r="J70" s="42"/>
      <c r="N70" s="54"/>
      <c r="R70" s="29"/>
    </row>
    <row r="71" spans="7:18" ht="12" customHeight="1">
      <c r="G71" s="10"/>
      <c r="J71" s="42"/>
      <c r="N71" s="54"/>
      <c r="R71" s="29"/>
    </row>
    <row r="72" spans="7:18" ht="12" customHeight="1">
      <c r="G72" s="10"/>
      <c r="J72" s="42"/>
      <c r="N72" s="54"/>
      <c r="R72" s="29"/>
    </row>
    <row r="73" spans="7:18" ht="12" customHeight="1">
      <c r="G73" s="10"/>
      <c r="J73" s="42"/>
      <c r="N73" s="54"/>
      <c r="R73" s="29"/>
    </row>
    <row r="74" spans="7:18" ht="12" customHeight="1">
      <c r="G74" s="10"/>
      <c r="J74" s="42"/>
      <c r="N74" s="54"/>
      <c r="R74" s="29"/>
    </row>
    <row r="75" spans="7:18" ht="12" customHeight="1">
      <c r="G75" s="10"/>
      <c r="J75" s="42"/>
      <c r="N75" s="54"/>
      <c r="R75" s="29"/>
    </row>
    <row r="76" spans="7:18" ht="12" customHeight="1">
      <c r="G76" s="10"/>
      <c r="J76" s="42"/>
      <c r="N76" s="54"/>
      <c r="R76" s="29"/>
    </row>
    <row r="77" spans="7:18" ht="12" customHeight="1">
      <c r="G77" s="10"/>
      <c r="J77" s="42"/>
      <c r="N77" s="54"/>
      <c r="R77" s="29"/>
    </row>
    <row r="78" spans="7:18" ht="12" customHeight="1">
      <c r="G78" s="10"/>
      <c r="J78" s="42"/>
      <c r="N78" s="54"/>
      <c r="R78" s="29"/>
    </row>
    <row r="79" spans="7:18" ht="12" customHeight="1">
      <c r="G79" s="10"/>
      <c r="J79" s="42"/>
      <c r="N79" s="54"/>
      <c r="R79" s="29"/>
    </row>
    <row r="80" spans="7:18" ht="12" customHeight="1">
      <c r="G80" s="10"/>
      <c r="J80" s="42"/>
      <c r="N80" s="54"/>
      <c r="R80" s="29"/>
    </row>
    <row r="81" spans="7:18" ht="12" customHeight="1">
      <c r="G81" s="10"/>
      <c r="J81" s="42"/>
      <c r="N81" s="54"/>
      <c r="R81" s="29"/>
    </row>
    <row r="82" spans="7:18" ht="12" customHeight="1">
      <c r="G82" s="10"/>
      <c r="J82" s="42"/>
      <c r="N82" s="54"/>
      <c r="R82" s="29"/>
    </row>
    <row r="83" spans="7:18" ht="12" customHeight="1">
      <c r="G83" s="10"/>
      <c r="J83" s="42"/>
      <c r="N83" s="54"/>
      <c r="R83" s="29"/>
    </row>
    <row r="84" spans="7:18" ht="12" customHeight="1">
      <c r="G84" s="10"/>
      <c r="J84" s="42"/>
      <c r="N84" s="54"/>
      <c r="R84" s="29"/>
    </row>
    <row r="85" spans="7:18" ht="12" customHeight="1">
      <c r="G85" s="10"/>
      <c r="J85" s="42"/>
      <c r="N85" s="54"/>
      <c r="R85" s="29"/>
    </row>
    <row r="86" spans="7:18" ht="12" customHeight="1">
      <c r="G86" s="10"/>
      <c r="J86" s="42"/>
      <c r="N86" s="54"/>
      <c r="R86" s="29"/>
    </row>
    <row r="87" spans="7:18" ht="12" customHeight="1">
      <c r="G87" s="10"/>
      <c r="J87" s="42"/>
      <c r="N87" s="54"/>
      <c r="R87" s="29"/>
    </row>
    <row r="88" spans="7:18" ht="12" customHeight="1">
      <c r="G88" s="10"/>
      <c r="J88" s="42"/>
      <c r="N88" s="54"/>
      <c r="R88" s="29"/>
    </row>
    <row r="89" spans="7:18" ht="12" customHeight="1">
      <c r="G89" s="10"/>
      <c r="J89" s="42"/>
      <c r="N89" s="54"/>
      <c r="R89" s="29"/>
    </row>
    <row r="90" spans="7:18" ht="12" customHeight="1">
      <c r="G90" s="10"/>
      <c r="J90" s="42"/>
      <c r="N90" s="54"/>
      <c r="R90" s="29"/>
    </row>
    <row r="91" spans="7:18" ht="12" customHeight="1">
      <c r="G91" s="10"/>
      <c r="J91" s="42"/>
      <c r="N91" s="54"/>
      <c r="R91" s="29"/>
    </row>
    <row r="92" spans="7:18" ht="12" customHeight="1">
      <c r="G92" s="10"/>
      <c r="J92" s="42"/>
      <c r="N92" s="54"/>
      <c r="R92" s="29"/>
    </row>
    <row r="93" spans="7:18" ht="12" customHeight="1">
      <c r="G93" s="10"/>
      <c r="J93" s="42"/>
      <c r="N93" s="54"/>
      <c r="R93" s="29"/>
    </row>
    <row r="94" spans="7:18" ht="12" customHeight="1">
      <c r="G94" s="10"/>
      <c r="J94" s="42"/>
      <c r="N94" s="54"/>
      <c r="R94" s="29"/>
    </row>
    <row r="95" spans="7:18" ht="12" customHeight="1">
      <c r="G95" s="10"/>
      <c r="J95" s="42"/>
      <c r="N95" s="54"/>
      <c r="R95" s="29"/>
    </row>
    <row r="96" spans="7:18" ht="12" customHeight="1">
      <c r="G96" s="10"/>
      <c r="J96" s="42"/>
      <c r="N96" s="54"/>
      <c r="R96" s="29"/>
    </row>
    <row r="97" spans="7:18" ht="12" customHeight="1">
      <c r="G97" s="10"/>
      <c r="J97" s="42"/>
      <c r="N97" s="54"/>
      <c r="R97" s="29"/>
    </row>
    <row r="98" spans="7:18" ht="12" customHeight="1">
      <c r="G98" s="10"/>
      <c r="J98" s="42"/>
      <c r="N98" s="54"/>
      <c r="R98" s="29"/>
    </row>
    <row r="99" spans="7:18" ht="12" customHeight="1">
      <c r="G99" s="10"/>
      <c r="J99" s="42"/>
      <c r="N99" s="54"/>
      <c r="R99" s="29"/>
    </row>
    <row r="100" spans="7:18" ht="12" customHeight="1">
      <c r="G100" s="10"/>
      <c r="J100" s="42"/>
      <c r="N100" s="54"/>
      <c r="R100" s="29"/>
    </row>
  </sheetData>
  <mergeCells count="33">
    <mergeCell ref="M31:O31"/>
    <mergeCell ref="P31:Q31"/>
    <mergeCell ref="I31:J31"/>
    <mergeCell ref="K31:L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G32:H32"/>
    <mergeCell ref="P32:Q32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L8:L26"/>
    <mergeCell ref="A26:B26"/>
    <mergeCell ref="A28:B28"/>
  </mergeCells>
  <pageMargins left="0.74803149606299202" right="0.74803149606299202" top="0.98425196850393704" bottom="0.98425196850393704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BE4C-6BE9-46EB-BA17-17AA400108FE}">
  <sheetPr>
    <pageSetUpPr fitToPage="1"/>
  </sheetPr>
  <dimension ref="A1:W100"/>
  <sheetViews>
    <sheetView zoomScaleNormal="100" workbookViewId="0">
      <selection activeCell="U20" sqref="U20"/>
    </sheetView>
  </sheetViews>
  <sheetFormatPr defaultColWidth="16.6640625" defaultRowHeight="15" customHeight="1"/>
  <cols>
    <col min="1" max="1" width="27.109375" customWidth="1"/>
    <col min="2" max="2" width="7.6640625" customWidth="1"/>
    <col min="3" max="3" width="5.6640625" customWidth="1"/>
    <col min="4" max="4" width="6.33203125" customWidth="1"/>
    <col min="5" max="9" width="7.6640625" customWidth="1"/>
    <col min="10" max="10" width="2.44140625" customWidth="1"/>
    <col min="11" max="11" width="3.6640625" customWidth="1"/>
    <col min="12" max="12" width="6.6640625" customWidth="1"/>
    <col min="13" max="13" width="3.6640625" customWidth="1"/>
    <col min="14" max="14" width="2.44140625" customWidth="1"/>
    <col min="15" max="19" width="7.6640625" customWidth="1"/>
    <col min="20" max="21" width="5.6640625" customWidth="1"/>
    <col min="22" max="22" width="7.6640625" customWidth="1"/>
    <col min="23" max="23" width="25.44140625" customWidth="1"/>
    <col min="24" max="24" width="8.6640625" customWidth="1"/>
  </cols>
  <sheetData>
    <row r="1" spans="1:23" ht="12" customHeight="1">
      <c r="A1" s="177" t="s">
        <v>152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3"/>
    </row>
    <row r="2" spans="1:23" ht="12" customHeight="1">
      <c r="A2" s="1" t="s">
        <v>0</v>
      </c>
      <c r="B2" s="176" t="s">
        <v>128</v>
      </c>
      <c r="C2" s="150"/>
      <c r="D2" s="150"/>
      <c r="E2" s="3"/>
      <c r="F2" s="3"/>
      <c r="G2" s="4"/>
      <c r="H2" s="5"/>
      <c r="I2" s="5"/>
      <c r="J2" s="42"/>
      <c r="K2" s="5"/>
      <c r="L2" s="5"/>
      <c r="M2" s="5"/>
      <c r="N2" s="54"/>
      <c r="O2" s="5"/>
      <c r="P2" s="55" t="s">
        <v>1</v>
      </c>
      <c r="Q2" s="3" t="s">
        <v>204</v>
      </c>
      <c r="R2" s="3"/>
      <c r="S2" s="3"/>
      <c r="T2" s="3"/>
      <c r="U2" s="3"/>
      <c r="V2" s="84"/>
      <c r="W2" s="85"/>
    </row>
    <row r="3" spans="1:23" ht="12" customHeight="1">
      <c r="A3" s="1" t="s">
        <v>2</v>
      </c>
      <c r="B3" s="174" t="s">
        <v>3</v>
      </c>
      <c r="C3" s="150"/>
      <c r="D3" s="150"/>
      <c r="E3" s="3"/>
      <c r="F3" s="3"/>
      <c r="G3" s="4"/>
      <c r="H3" s="3"/>
      <c r="I3" s="3"/>
      <c r="J3" s="56"/>
      <c r="K3" s="3"/>
      <c r="L3" s="3"/>
      <c r="M3" s="3"/>
      <c r="N3" s="57"/>
      <c r="O3" s="3"/>
      <c r="P3" s="55" t="s">
        <v>4</v>
      </c>
      <c r="Q3" s="113" t="s">
        <v>61</v>
      </c>
      <c r="R3" s="3"/>
      <c r="S3" s="3"/>
      <c r="T3" s="3"/>
      <c r="U3" s="3"/>
      <c r="V3" s="3"/>
      <c r="W3" s="86"/>
    </row>
    <row r="4" spans="1:23" ht="12" customHeight="1">
      <c r="A4" s="6" t="s">
        <v>5</v>
      </c>
      <c r="B4" s="175"/>
      <c r="C4" s="138"/>
      <c r="D4" s="138"/>
      <c r="E4" s="7"/>
      <c r="F4" s="5"/>
      <c r="G4" s="8"/>
      <c r="H4" s="5"/>
      <c r="I4" s="5"/>
      <c r="J4" s="42"/>
      <c r="K4" s="5"/>
      <c r="L4" s="5"/>
      <c r="M4" s="5"/>
      <c r="N4" s="54"/>
      <c r="O4" s="5"/>
      <c r="P4" s="5" t="s">
        <v>6</v>
      </c>
      <c r="Q4" s="175" t="s">
        <v>7</v>
      </c>
      <c r="R4" s="138"/>
      <c r="S4" s="5"/>
      <c r="T4" s="5"/>
      <c r="U4" s="5"/>
      <c r="V4" s="5"/>
      <c r="W4" s="85"/>
    </row>
    <row r="5" spans="1:23" ht="12" customHeight="1">
      <c r="A5" s="9"/>
      <c r="G5" s="10"/>
      <c r="J5" s="42"/>
      <c r="N5" s="54"/>
      <c r="W5" s="87"/>
    </row>
    <row r="6" spans="1:23" ht="34.5" customHeight="1" thickBot="1">
      <c r="A6" s="11" t="s">
        <v>8</v>
      </c>
      <c r="B6" s="12" t="s">
        <v>9</v>
      </c>
      <c r="C6" s="12" t="s">
        <v>10</v>
      </c>
      <c r="D6" s="13" t="s">
        <v>11</v>
      </c>
      <c r="E6" s="13" t="s">
        <v>12</v>
      </c>
      <c r="F6" s="13" t="s">
        <v>13</v>
      </c>
      <c r="G6" s="159" t="s">
        <v>14</v>
      </c>
      <c r="H6" s="160"/>
      <c r="I6" s="161"/>
      <c r="J6" s="162" t="s">
        <v>15</v>
      </c>
      <c r="K6" s="163"/>
      <c r="L6" s="163"/>
      <c r="M6" s="163"/>
      <c r="N6" s="164"/>
      <c r="O6" s="159" t="s">
        <v>14</v>
      </c>
      <c r="P6" s="160"/>
      <c r="Q6" s="161"/>
      <c r="R6" s="13" t="s">
        <v>13</v>
      </c>
      <c r="S6" s="13" t="s">
        <v>12</v>
      </c>
      <c r="T6" s="13" t="s">
        <v>11</v>
      </c>
      <c r="U6" s="12" t="s">
        <v>10</v>
      </c>
      <c r="V6" s="12" t="s">
        <v>9</v>
      </c>
      <c r="W6" s="88" t="s">
        <v>8</v>
      </c>
    </row>
    <row r="7" spans="1:23" ht="12" customHeight="1" thickTop="1">
      <c r="A7" s="14"/>
      <c r="B7" s="15"/>
      <c r="C7" s="16"/>
      <c r="D7" s="16"/>
      <c r="E7" s="16"/>
      <c r="F7" s="16"/>
      <c r="G7" s="17" t="s">
        <v>16</v>
      </c>
      <c r="H7" s="18" t="s">
        <v>17</v>
      </c>
      <c r="I7" s="18" t="s">
        <v>18</v>
      </c>
      <c r="J7" s="58"/>
      <c r="K7" s="59"/>
      <c r="L7" s="60"/>
      <c r="M7" s="60"/>
      <c r="N7" s="61"/>
      <c r="O7" s="62" t="s">
        <v>16</v>
      </c>
      <c r="P7" s="18" t="s">
        <v>17</v>
      </c>
      <c r="Q7" s="89" t="s">
        <v>18</v>
      </c>
      <c r="R7" s="90"/>
      <c r="S7" s="90"/>
      <c r="T7" s="90"/>
      <c r="U7" s="90"/>
      <c r="V7" s="15"/>
      <c r="W7" s="91"/>
    </row>
    <row r="8" spans="1:23" ht="12" customHeight="1">
      <c r="A8" s="114" t="s">
        <v>62</v>
      </c>
      <c r="B8" s="20" t="s">
        <v>20</v>
      </c>
      <c r="C8" s="21">
        <v>1</v>
      </c>
      <c r="D8" s="21">
        <v>560</v>
      </c>
      <c r="E8" s="22">
        <f t="shared" ref="E8:E25" si="0">C8*D8</f>
        <v>560</v>
      </c>
      <c r="F8" s="23">
        <v>0.8</v>
      </c>
      <c r="G8" s="24">
        <f>E8*F8</f>
        <v>448</v>
      </c>
      <c r="H8" s="21"/>
      <c r="I8" s="63"/>
      <c r="J8" s="64">
        <v>1</v>
      </c>
      <c r="K8" s="65">
        <v>15</v>
      </c>
      <c r="L8" s="168"/>
      <c r="M8" s="65">
        <v>15</v>
      </c>
      <c r="N8" s="66">
        <v>13</v>
      </c>
      <c r="O8" s="24">
        <f>S8*R8</f>
        <v>448</v>
      </c>
      <c r="Q8" s="24"/>
      <c r="R8" s="23">
        <v>0.8</v>
      </c>
      <c r="S8" s="92">
        <f t="shared" ref="S8:S25" si="1">T8*U8</f>
        <v>560</v>
      </c>
      <c r="T8" s="28">
        <v>560</v>
      </c>
      <c r="U8" s="92">
        <v>1</v>
      </c>
      <c r="V8" s="20" t="s">
        <v>20</v>
      </c>
      <c r="W8" s="118" t="s">
        <v>64</v>
      </c>
    </row>
    <row r="9" spans="1:23" ht="12" customHeight="1">
      <c r="A9" s="114" t="s">
        <v>65</v>
      </c>
      <c r="B9" s="20" t="s">
        <v>20</v>
      </c>
      <c r="C9" s="21">
        <v>1</v>
      </c>
      <c r="D9" s="21">
        <v>116</v>
      </c>
      <c r="E9" s="22">
        <f t="shared" si="0"/>
        <v>116</v>
      </c>
      <c r="F9" s="23">
        <v>0.8</v>
      </c>
      <c r="G9" s="25"/>
      <c r="H9" s="25">
        <f>E9*F9</f>
        <v>92.800000000000011</v>
      </c>
      <c r="J9" s="64">
        <v>2</v>
      </c>
      <c r="K9" s="65">
        <v>15</v>
      </c>
      <c r="L9" s="169"/>
      <c r="M9" s="65">
        <v>15</v>
      </c>
      <c r="N9" s="66">
        <v>14</v>
      </c>
      <c r="P9" s="25">
        <f>S9*R9</f>
        <v>92.800000000000011</v>
      </c>
      <c r="Q9" s="25"/>
      <c r="R9" s="23">
        <v>0.8</v>
      </c>
      <c r="S9" s="92">
        <f t="shared" si="1"/>
        <v>116</v>
      </c>
      <c r="T9" s="28">
        <v>116</v>
      </c>
      <c r="U9" s="92">
        <v>1</v>
      </c>
      <c r="V9" s="20" t="s">
        <v>20</v>
      </c>
      <c r="W9" s="118" t="s">
        <v>159</v>
      </c>
    </row>
    <row r="10" spans="1:23" ht="12" customHeight="1">
      <c r="A10" s="114" t="s">
        <v>68</v>
      </c>
      <c r="B10" s="20" t="s">
        <v>20</v>
      </c>
      <c r="C10" s="21">
        <v>1</v>
      </c>
      <c r="D10" s="21">
        <v>116</v>
      </c>
      <c r="E10" s="22">
        <f t="shared" si="0"/>
        <v>116</v>
      </c>
      <c r="F10" s="23">
        <v>0.8</v>
      </c>
      <c r="G10" s="25"/>
      <c r="I10" s="25">
        <f>E10*F10</f>
        <v>92.800000000000011</v>
      </c>
      <c r="J10" s="64">
        <v>3</v>
      </c>
      <c r="K10" s="65">
        <v>15</v>
      </c>
      <c r="L10" s="169"/>
      <c r="M10" s="65">
        <v>15</v>
      </c>
      <c r="N10" s="66">
        <v>15</v>
      </c>
      <c r="O10" s="27"/>
      <c r="P10" s="25"/>
      <c r="Q10" s="25">
        <f>S10*R10</f>
        <v>44.800000000000004</v>
      </c>
      <c r="R10" s="23">
        <v>0.8</v>
      </c>
      <c r="S10" s="92">
        <f t="shared" si="1"/>
        <v>56</v>
      </c>
      <c r="T10" s="28">
        <v>56</v>
      </c>
      <c r="U10" s="92">
        <v>1</v>
      </c>
      <c r="V10" s="20" t="s">
        <v>20</v>
      </c>
      <c r="W10" s="118" t="s">
        <v>63</v>
      </c>
    </row>
    <row r="11" spans="1:23" ht="12" customHeight="1">
      <c r="A11" s="114" t="s">
        <v>153</v>
      </c>
      <c r="B11" s="20" t="s">
        <v>20</v>
      </c>
      <c r="C11" s="21">
        <v>1</v>
      </c>
      <c r="D11" s="21">
        <v>56</v>
      </c>
      <c r="E11" s="22">
        <f t="shared" si="0"/>
        <v>56</v>
      </c>
      <c r="F11" s="23">
        <v>0.8</v>
      </c>
      <c r="G11" s="25">
        <f>E11*F11</f>
        <v>44.800000000000004</v>
      </c>
      <c r="H11" s="25"/>
      <c r="I11" s="25"/>
      <c r="J11" s="64">
        <v>4</v>
      </c>
      <c r="K11" s="65">
        <v>15</v>
      </c>
      <c r="L11" s="169"/>
      <c r="M11" s="65">
        <v>15</v>
      </c>
      <c r="N11" s="66">
        <v>16</v>
      </c>
      <c r="O11" s="27">
        <f>S11*R11</f>
        <v>448</v>
      </c>
      <c r="Q11" s="27"/>
      <c r="R11" s="23">
        <v>0.8</v>
      </c>
      <c r="S11" s="92">
        <f t="shared" si="1"/>
        <v>560</v>
      </c>
      <c r="T11" s="28">
        <v>560</v>
      </c>
      <c r="U11" s="92">
        <v>1</v>
      </c>
      <c r="V11" s="20" t="s">
        <v>20</v>
      </c>
      <c r="W11" s="118" t="s">
        <v>160</v>
      </c>
    </row>
    <row r="12" spans="1:23" ht="12" customHeight="1">
      <c r="A12" s="114" t="s">
        <v>155</v>
      </c>
      <c r="B12" s="20" t="s">
        <v>20</v>
      </c>
      <c r="C12" s="21">
        <v>1</v>
      </c>
      <c r="D12" s="21">
        <v>560</v>
      </c>
      <c r="E12" s="22">
        <f>C12*D12</f>
        <v>560</v>
      </c>
      <c r="F12" s="23">
        <v>0.8</v>
      </c>
      <c r="G12" s="25"/>
      <c r="H12" s="25">
        <f>E12*F12</f>
        <v>448</v>
      </c>
      <c r="J12" s="64">
        <v>5</v>
      </c>
      <c r="K12" s="65">
        <v>15</v>
      </c>
      <c r="L12" s="169"/>
      <c r="M12" s="65">
        <v>15</v>
      </c>
      <c r="N12" s="66">
        <v>17</v>
      </c>
      <c r="P12" s="25">
        <f>S12*R12</f>
        <v>448</v>
      </c>
      <c r="Q12" s="27"/>
      <c r="R12" s="23">
        <v>0.8</v>
      </c>
      <c r="S12" s="92">
        <f t="shared" si="1"/>
        <v>560</v>
      </c>
      <c r="T12" s="28">
        <v>560</v>
      </c>
      <c r="U12" s="92">
        <v>1</v>
      </c>
      <c r="V12" s="20" t="s">
        <v>20</v>
      </c>
      <c r="W12" s="118" t="s">
        <v>161</v>
      </c>
    </row>
    <row r="13" spans="1:23" ht="12" customHeight="1">
      <c r="A13" s="114" t="s">
        <v>154</v>
      </c>
      <c r="B13" s="20" t="s">
        <v>20</v>
      </c>
      <c r="C13" s="21">
        <v>1</v>
      </c>
      <c r="D13" s="21">
        <v>116</v>
      </c>
      <c r="E13" s="22">
        <f t="shared" si="0"/>
        <v>116</v>
      </c>
      <c r="F13" s="23">
        <v>0.8</v>
      </c>
      <c r="G13" s="25"/>
      <c r="I13" s="25">
        <f>E13*F13</f>
        <v>92.800000000000011</v>
      </c>
      <c r="J13" s="64">
        <v>6</v>
      </c>
      <c r="K13" s="65">
        <v>15</v>
      </c>
      <c r="L13" s="169"/>
      <c r="M13" s="67">
        <v>15</v>
      </c>
      <c r="N13" s="66">
        <v>18</v>
      </c>
      <c r="O13" s="27"/>
      <c r="P13" s="27"/>
      <c r="Q13" s="27">
        <f>S13*R13</f>
        <v>448</v>
      </c>
      <c r="R13" s="23">
        <v>0.8</v>
      </c>
      <c r="S13" s="92">
        <f t="shared" si="1"/>
        <v>560</v>
      </c>
      <c r="T13" s="28">
        <v>560</v>
      </c>
      <c r="U13" s="92">
        <v>1</v>
      </c>
      <c r="V13" s="20" t="s">
        <v>20</v>
      </c>
      <c r="W13" s="118" t="s">
        <v>162</v>
      </c>
    </row>
    <row r="14" spans="1:23" ht="12" customHeight="1">
      <c r="A14" s="114" t="s">
        <v>156</v>
      </c>
      <c r="B14" s="20" t="s">
        <v>20</v>
      </c>
      <c r="C14" s="21">
        <v>1</v>
      </c>
      <c r="D14" s="28">
        <v>116</v>
      </c>
      <c r="E14" s="22">
        <f t="shared" si="0"/>
        <v>116</v>
      </c>
      <c r="F14" s="23">
        <v>0.8</v>
      </c>
      <c r="G14" s="25">
        <f>E14*F14</f>
        <v>92.800000000000011</v>
      </c>
      <c r="H14" s="27"/>
      <c r="I14" s="27"/>
      <c r="J14" s="64">
        <v>7</v>
      </c>
      <c r="K14" s="65">
        <v>15</v>
      </c>
      <c r="L14" s="169"/>
      <c r="M14" s="67">
        <v>15</v>
      </c>
      <c r="N14" s="66">
        <v>19</v>
      </c>
      <c r="O14" s="27">
        <f>S14*R14</f>
        <v>44.800000000000004</v>
      </c>
      <c r="Q14" s="27"/>
      <c r="R14" s="23">
        <v>0.8</v>
      </c>
      <c r="S14" s="92">
        <f t="shared" si="1"/>
        <v>56</v>
      </c>
      <c r="T14" s="28">
        <v>56</v>
      </c>
      <c r="U14" s="92">
        <v>1</v>
      </c>
      <c r="V14" s="20" t="s">
        <v>20</v>
      </c>
      <c r="W14" s="118" t="s">
        <v>163</v>
      </c>
    </row>
    <row r="15" spans="1:23" ht="12" customHeight="1">
      <c r="A15" s="114" t="s">
        <v>157</v>
      </c>
      <c r="B15" s="20" t="s">
        <v>20</v>
      </c>
      <c r="C15" s="21">
        <v>1</v>
      </c>
      <c r="D15" s="28">
        <v>116</v>
      </c>
      <c r="E15" s="22">
        <f t="shared" si="0"/>
        <v>116</v>
      </c>
      <c r="F15" s="23">
        <v>0.8</v>
      </c>
      <c r="G15" s="25"/>
      <c r="H15" s="27">
        <f>E15*F15</f>
        <v>92.800000000000011</v>
      </c>
      <c r="J15" s="64">
        <v>8</v>
      </c>
      <c r="K15" s="68">
        <v>15</v>
      </c>
      <c r="L15" s="169"/>
      <c r="M15" s="67">
        <v>15</v>
      </c>
      <c r="N15" s="66">
        <v>20</v>
      </c>
      <c r="P15" s="27">
        <f>S15*R15</f>
        <v>92.800000000000011</v>
      </c>
      <c r="Q15" s="27"/>
      <c r="R15" s="23">
        <v>0.8</v>
      </c>
      <c r="S15" s="92">
        <f t="shared" si="1"/>
        <v>116</v>
      </c>
      <c r="T15" s="28">
        <v>116</v>
      </c>
      <c r="U15" s="92">
        <v>1</v>
      </c>
      <c r="V15" s="20" t="s">
        <v>20</v>
      </c>
      <c r="W15" s="118" t="s">
        <v>164</v>
      </c>
    </row>
    <row r="16" spans="1:23" ht="12" customHeight="1">
      <c r="A16" s="114" t="s">
        <v>158</v>
      </c>
      <c r="B16" s="20" t="s">
        <v>20</v>
      </c>
      <c r="C16" s="21">
        <v>1</v>
      </c>
      <c r="D16" s="28">
        <v>56</v>
      </c>
      <c r="E16" s="22">
        <f t="shared" si="0"/>
        <v>56</v>
      </c>
      <c r="F16" s="23">
        <v>0.8</v>
      </c>
      <c r="G16" s="25"/>
      <c r="I16" s="25">
        <f>E16*F16</f>
        <v>44.800000000000004</v>
      </c>
      <c r="J16" s="64">
        <v>9</v>
      </c>
      <c r="K16" s="68">
        <v>15</v>
      </c>
      <c r="L16" s="169"/>
      <c r="M16" s="67">
        <v>20</v>
      </c>
      <c r="N16" s="66">
        <v>21</v>
      </c>
      <c r="O16" s="27"/>
      <c r="P16" s="27"/>
      <c r="Q16" s="27">
        <f>R16*S16</f>
        <v>1080</v>
      </c>
      <c r="R16" s="23">
        <v>0.8</v>
      </c>
      <c r="S16" s="92">
        <f t="shared" si="1"/>
        <v>1350</v>
      </c>
      <c r="T16" s="28">
        <v>1350</v>
      </c>
      <c r="U16" s="92">
        <v>1</v>
      </c>
      <c r="V16" s="111" t="s">
        <v>22</v>
      </c>
      <c r="W16" s="118" t="s">
        <v>165</v>
      </c>
    </row>
    <row r="17" spans="1:23" ht="12" customHeight="1">
      <c r="A17" s="112" t="s">
        <v>197</v>
      </c>
      <c r="B17" s="116" t="s">
        <v>20</v>
      </c>
      <c r="C17" s="21">
        <v>1</v>
      </c>
      <c r="D17" s="28">
        <v>400</v>
      </c>
      <c r="E17" s="22">
        <f t="shared" si="0"/>
        <v>400</v>
      </c>
      <c r="F17" s="23">
        <v>0.8</v>
      </c>
      <c r="G17" s="27">
        <f>F17*E17</f>
        <v>320</v>
      </c>
      <c r="H17" s="29"/>
      <c r="I17" s="27"/>
      <c r="J17" s="64">
        <v>10</v>
      </c>
      <c r="K17" s="68">
        <v>15</v>
      </c>
      <c r="L17" s="169"/>
      <c r="M17" s="67">
        <v>20</v>
      </c>
      <c r="N17" s="66">
        <v>22</v>
      </c>
      <c r="O17" s="27">
        <f>S17*R17</f>
        <v>0</v>
      </c>
      <c r="Q17" s="27"/>
      <c r="R17" s="23">
        <v>0.8</v>
      </c>
      <c r="S17" s="92">
        <f t="shared" si="1"/>
        <v>0</v>
      </c>
      <c r="T17" s="22">
        <v>1500</v>
      </c>
      <c r="U17" s="92">
        <v>0</v>
      </c>
      <c r="V17" s="111" t="s">
        <v>22</v>
      </c>
      <c r="W17" s="118" t="s">
        <v>21</v>
      </c>
    </row>
    <row r="18" spans="1:23" ht="12" customHeight="1">
      <c r="A18" s="112" t="s">
        <v>198</v>
      </c>
      <c r="B18" s="116" t="s">
        <v>20</v>
      </c>
      <c r="C18" s="21">
        <v>1</v>
      </c>
      <c r="D18" s="28">
        <v>400</v>
      </c>
      <c r="E18" s="22">
        <f t="shared" si="0"/>
        <v>400</v>
      </c>
      <c r="F18" s="23">
        <v>0.8</v>
      </c>
      <c r="G18" s="25"/>
      <c r="H18" s="27">
        <f>E18*F18</f>
        <v>320</v>
      </c>
      <c r="J18" s="64">
        <v>11</v>
      </c>
      <c r="K18" s="68">
        <v>15</v>
      </c>
      <c r="L18" s="169"/>
      <c r="M18" s="67">
        <v>20</v>
      </c>
      <c r="N18" s="66">
        <v>23</v>
      </c>
      <c r="P18" s="27">
        <f>R18*S18</f>
        <v>0</v>
      </c>
      <c r="Q18" s="27"/>
      <c r="R18" s="23">
        <v>0.8</v>
      </c>
      <c r="S18" s="92">
        <f t="shared" si="1"/>
        <v>0</v>
      </c>
      <c r="T18" s="22">
        <v>1500</v>
      </c>
      <c r="U18" s="92">
        <v>0</v>
      </c>
      <c r="V18" s="111" t="s">
        <v>22</v>
      </c>
      <c r="W18" s="118" t="s">
        <v>21</v>
      </c>
    </row>
    <row r="19" spans="1:23" ht="12" customHeight="1">
      <c r="A19" s="112" t="s">
        <v>21</v>
      </c>
      <c r="B19" s="20" t="s">
        <v>22</v>
      </c>
      <c r="C19" s="21">
        <v>0</v>
      </c>
      <c r="D19" s="28">
        <v>116</v>
      </c>
      <c r="E19" s="22">
        <f t="shared" si="0"/>
        <v>0</v>
      </c>
      <c r="F19" s="23">
        <v>0.8</v>
      </c>
      <c r="G19" s="25"/>
      <c r="I19" s="27">
        <f>E19*F19</f>
        <v>0</v>
      </c>
      <c r="J19" s="64">
        <v>12</v>
      </c>
      <c r="K19" s="68">
        <v>15</v>
      </c>
      <c r="L19" s="169"/>
      <c r="M19" s="68">
        <v>20</v>
      </c>
      <c r="N19" s="66">
        <v>24</v>
      </c>
      <c r="O19" s="27"/>
      <c r="P19" s="27"/>
      <c r="Q19" s="27">
        <f>R19*S19</f>
        <v>0</v>
      </c>
      <c r="R19" s="23">
        <v>0.8</v>
      </c>
      <c r="S19" s="92">
        <f t="shared" si="1"/>
        <v>0</v>
      </c>
      <c r="T19" s="22">
        <v>1500</v>
      </c>
      <c r="U19" s="92">
        <v>0</v>
      </c>
      <c r="V19" s="111" t="s">
        <v>22</v>
      </c>
      <c r="W19" s="118" t="s">
        <v>21</v>
      </c>
    </row>
    <row r="20" spans="1:23" ht="12" customHeight="1">
      <c r="A20" s="19" t="s">
        <v>21</v>
      </c>
      <c r="B20" s="20" t="s">
        <v>22</v>
      </c>
      <c r="C20" s="21">
        <v>0</v>
      </c>
      <c r="D20" s="31">
        <v>1500</v>
      </c>
      <c r="E20" s="22">
        <f t="shared" si="0"/>
        <v>0</v>
      </c>
      <c r="F20" s="30">
        <v>0.8</v>
      </c>
      <c r="G20" s="27">
        <f>E20*F20</f>
        <v>0</v>
      </c>
      <c r="H20" s="27"/>
      <c r="I20" s="27"/>
      <c r="J20" s="64"/>
      <c r="K20" s="68">
        <v>20</v>
      </c>
      <c r="L20" s="169"/>
      <c r="M20" s="68">
        <v>30</v>
      </c>
      <c r="N20" s="64"/>
      <c r="O20" s="27">
        <f>R20*S20</f>
        <v>0</v>
      </c>
      <c r="Q20" s="27"/>
      <c r="R20" s="93">
        <v>0.6</v>
      </c>
      <c r="S20" s="92">
        <f t="shared" si="1"/>
        <v>0</v>
      </c>
      <c r="T20" s="31">
        <v>3000</v>
      </c>
      <c r="U20" s="92">
        <v>0</v>
      </c>
      <c r="V20" s="27" t="s">
        <v>23</v>
      </c>
      <c r="W20" s="94" t="s">
        <v>21</v>
      </c>
    </row>
    <row r="21" spans="1:23" ht="12" customHeight="1">
      <c r="A21" s="19" t="s">
        <v>21</v>
      </c>
      <c r="B21" s="20" t="s">
        <v>22</v>
      </c>
      <c r="C21" s="21">
        <v>0</v>
      </c>
      <c r="D21" s="31">
        <v>2000</v>
      </c>
      <c r="E21" s="22">
        <f t="shared" si="0"/>
        <v>0</v>
      </c>
      <c r="F21" s="30">
        <v>0.6</v>
      </c>
      <c r="G21" s="25"/>
      <c r="H21" s="27">
        <f>E21*F21</f>
        <v>0</v>
      </c>
      <c r="J21" s="64"/>
      <c r="K21" s="68">
        <v>20</v>
      </c>
      <c r="L21" s="169"/>
      <c r="M21" s="68">
        <v>20</v>
      </c>
      <c r="N21" s="66"/>
      <c r="P21" s="27">
        <f>R21*S21</f>
        <v>0</v>
      </c>
      <c r="Q21" s="27"/>
      <c r="R21" s="93">
        <v>1</v>
      </c>
      <c r="S21" s="92">
        <f t="shared" si="1"/>
        <v>0</v>
      </c>
      <c r="T21" s="31">
        <v>400</v>
      </c>
      <c r="U21" s="92">
        <v>0</v>
      </c>
      <c r="V21" s="27" t="s">
        <v>24</v>
      </c>
      <c r="W21" s="94" t="s">
        <v>21</v>
      </c>
    </row>
    <row r="22" spans="1:23" ht="12" customHeight="1">
      <c r="A22" s="19" t="s">
        <v>21</v>
      </c>
      <c r="B22" s="20" t="s">
        <v>22</v>
      </c>
      <c r="C22" s="21">
        <v>0</v>
      </c>
      <c r="D22" s="28">
        <v>1119</v>
      </c>
      <c r="E22" s="22">
        <f t="shared" si="0"/>
        <v>0</v>
      </c>
      <c r="F22" s="23">
        <v>0.8</v>
      </c>
      <c r="G22" s="25"/>
      <c r="I22" s="27">
        <f>E22*F22</f>
        <v>0</v>
      </c>
      <c r="J22" s="64"/>
      <c r="K22" s="68">
        <v>15</v>
      </c>
      <c r="L22" s="169"/>
      <c r="M22" s="68">
        <v>20</v>
      </c>
      <c r="N22" s="66"/>
      <c r="O22" s="27"/>
      <c r="P22" s="27"/>
      <c r="Q22" s="27">
        <f>R22*S22</f>
        <v>0</v>
      </c>
      <c r="R22" s="23">
        <v>0.8</v>
      </c>
      <c r="S22" s="92">
        <f t="shared" si="1"/>
        <v>0</v>
      </c>
      <c r="T22" s="22">
        <v>1492</v>
      </c>
      <c r="U22" s="92">
        <v>0</v>
      </c>
      <c r="V22" s="27" t="s">
        <v>22</v>
      </c>
      <c r="W22" s="94" t="s">
        <v>21</v>
      </c>
    </row>
    <row r="23" spans="1:23" ht="12" customHeight="1">
      <c r="A23" s="19" t="s">
        <v>21</v>
      </c>
      <c r="B23" s="20" t="s">
        <v>22</v>
      </c>
      <c r="C23" s="21">
        <v>0</v>
      </c>
      <c r="D23" s="31">
        <v>1200</v>
      </c>
      <c r="E23" s="22">
        <f t="shared" si="0"/>
        <v>0</v>
      </c>
      <c r="F23" s="30">
        <v>1</v>
      </c>
      <c r="G23" s="27">
        <f>E23*F23</f>
        <v>0</v>
      </c>
      <c r="H23" s="27"/>
      <c r="I23" s="27"/>
      <c r="J23" s="64"/>
      <c r="K23" s="68">
        <v>20</v>
      </c>
      <c r="L23" s="169"/>
      <c r="M23" s="68">
        <v>20</v>
      </c>
      <c r="N23" s="66"/>
      <c r="O23" s="27">
        <f>R23*S23</f>
        <v>0</v>
      </c>
      <c r="Q23" s="27"/>
      <c r="R23" s="93">
        <v>1</v>
      </c>
      <c r="S23" s="92">
        <f t="shared" si="1"/>
        <v>0</v>
      </c>
      <c r="T23" s="31">
        <v>400</v>
      </c>
      <c r="U23" s="92">
        <v>0</v>
      </c>
      <c r="V23" s="75" t="s">
        <v>24</v>
      </c>
      <c r="W23" s="94" t="s">
        <v>21</v>
      </c>
    </row>
    <row r="24" spans="1:23" ht="12" customHeight="1">
      <c r="A24" s="19" t="s">
        <v>21</v>
      </c>
      <c r="B24" s="20" t="s">
        <v>22</v>
      </c>
      <c r="C24" s="21">
        <v>0</v>
      </c>
      <c r="D24" s="31">
        <v>1200</v>
      </c>
      <c r="E24" s="22">
        <f t="shared" si="0"/>
        <v>0</v>
      </c>
      <c r="F24" s="30">
        <v>1</v>
      </c>
      <c r="G24" s="25"/>
      <c r="H24" s="27">
        <f>E24*F24</f>
        <v>0</v>
      </c>
      <c r="J24" s="64"/>
      <c r="K24" s="68">
        <v>20</v>
      </c>
      <c r="L24" s="169"/>
      <c r="M24" s="68">
        <v>20</v>
      </c>
      <c r="N24" s="66"/>
      <c r="P24" s="27">
        <f>R24*S24</f>
        <v>0</v>
      </c>
      <c r="Q24" s="27"/>
      <c r="R24" s="93">
        <v>1</v>
      </c>
      <c r="S24" s="92">
        <f t="shared" si="1"/>
        <v>0</v>
      </c>
      <c r="T24" s="31">
        <v>400</v>
      </c>
      <c r="U24" s="92">
        <v>0</v>
      </c>
      <c r="V24" s="75" t="s">
        <v>24</v>
      </c>
      <c r="W24" s="94" t="s">
        <v>21</v>
      </c>
    </row>
    <row r="25" spans="1:23" ht="12" customHeight="1">
      <c r="A25" s="19" t="s">
        <v>21</v>
      </c>
      <c r="B25" s="20" t="s">
        <v>22</v>
      </c>
      <c r="C25" s="21">
        <v>0</v>
      </c>
      <c r="D25" s="31">
        <v>1200</v>
      </c>
      <c r="E25" s="22">
        <f t="shared" si="0"/>
        <v>0</v>
      </c>
      <c r="F25" s="30">
        <v>1</v>
      </c>
      <c r="G25" s="25"/>
      <c r="I25" s="27">
        <f>E25*F25</f>
        <v>0</v>
      </c>
      <c r="J25" s="64"/>
      <c r="K25" s="68">
        <v>20</v>
      </c>
      <c r="L25" s="169"/>
      <c r="M25" s="68">
        <v>20</v>
      </c>
      <c r="N25" s="66"/>
      <c r="O25" s="27"/>
      <c r="P25" s="27"/>
      <c r="Q25" s="27">
        <f>R25*S25</f>
        <v>0</v>
      </c>
      <c r="R25" s="93">
        <v>1</v>
      </c>
      <c r="S25" s="92">
        <f t="shared" si="1"/>
        <v>0</v>
      </c>
      <c r="T25" s="31">
        <v>400</v>
      </c>
      <c r="U25" s="92">
        <v>0</v>
      </c>
      <c r="V25" s="75" t="s">
        <v>24</v>
      </c>
      <c r="W25" s="94" t="s">
        <v>21</v>
      </c>
    </row>
    <row r="26" spans="1:23" ht="12" customHeight="1">
      <c r="A26" s="165" t="s">
        <v>25</v>
      </c>
      <c r="B26" s="146"/>
      <c r="C26" s="32"/>
      <c r="D26" s="32"/>
      <c r="E26" s="33">
        <f>SUM(E8:E25)</f>
        <v>2612</v>
      </c>
      <c r="F26" s="32"/>
      <c r="G26" s="34">
        <f t="shared" ref="G26:I26" si="2">SUM(G8:G25)</f>
        <v>905.6</v>
      </c>
      <c r="H26" s="27">
        <f t="shared" si="2"/>
        <v>953.59999999999991</v>
      </c>
      <c r="I26" s="27">
        <f t="shared" si="2"/>
        <v>230.40000000000003</v>
      </c>
      <c r="J26" s="32"/>
      <c r="K26" s="69"/>
      <c r="L26" s="170"/>
      <c r="M26" s="69"/>
      <c r="N26" s="70"/>
      <c r="O26" s="25">
        <f t="shared" ref="O26:Q26" si="3">SUM(O8:O25)</f>
        <v>940.8</v>
      </c>
      <c r="P26" s="34">
        <f t="shared" si="3"/>
        <v>633.59999999999991</v>
      </c>
      <c r="Q26" s="25">
        <f t="shared" si="3"/>
        <v>1572.8</v>
      </c>
      <c r="R26" s="27"/>
      <c r="S26" s="95">
        <f>SUM(S8:S25)</f>
        <v>3934</v>
      </c>
      <c r="T26" s="95"/>
      <c r="U26" s="34"/>
      <c r="V26" s="69"/>
      <c r="W26" s="96"/>
    </row>
    <row r="27" spans="1:23" ht="12" customHeight="1">
      <c r="A27" s="35" t="s">
        <v>41</v>
      </c>
      <c r="B27" s="32"/>
      <c r="C27" s="32"/>
      <c r="D27" s="32"/>
      <c r="E27" s="32"/>
      <c r="F27" s="32"/>
      <c r="G27" s="36"/>
      <c r="H27" s="37"/>
      <c r="I27" s="37"/>
      <c r="J27" s="32"/>
      <c r="K27" s="71"/>
      <c r="L27" s="71"/>
      <c r="M27" s="71" t="s">
        <v>206</v>
      </c>
      <c r="N27" s="70"/>
      <c r="O27" s="71"/>
      <c r="P27" s="71"/>
      <c r="Q27" s="71"/>
      <c r="R27" s="37"/>
      <c r="S27" s="71"/>
      <c r="T27" s="71"/>
      <c r="U27" s="37"/>
      <c r="V27" s="71"/>
      <c r="W27" s="96"/>
    </row>
    <row r="28" spans="1:23" ht="12" customHeight="1" thickBot="1">
      <c r="A28" s="166"/>
      <c r="B28" s="167"/>
      <c r="C28" s="38"/>
      <c r="D28" s="38"/>
      <c r="E28" s="38"/>
      <c r="F28" s="38"/>
      <c r="G28" s="39"/>
      <c r="H28" s="40"/>
      <c r="I28" s="37"/>
      <c r="J28" s="38"/>
      <c r="K28" s="72"/>
      <c r="L28" s="72"/>
      <c r="M28" s="72"/>
      <c r="N28" s="73"/>
      <c r="O28" s="72"/>
      <c r="P28" s="72"/>
      <c r="Q28" s="72"/>
      <c r="R28" s="72"/>
      <c r="S28" s="72"/>
      <c r="T28" s="72"/>
      <c r="U28" s="40"/>
      <c r="V28" s="72"/>
      <c r="W28" s="97"/>
    </row>
    <row r="29" spans="1:23" ht="12" customHeight="1" thickTop="1">
      <c r="A29" s="41"/>
      <c r="B29" s="42"/>
      <c r="C29" s="42"/>
      <c r="D29" s="42"/>
      <c r="E29" s="42"/>
      <c r="F29" s="42"/>
      <c r="G29" s="10"/>
      <c r="J29" s="42"/>
      <c r="N29" s="54"/>
      <c r="O29" s="74"/>
      <c r="P29" s="74"/>
      <c r="Q29" s="74"/>
      <c r="V29" s="151"/>
      <c r="W29" s="152"/>
    </row>
    <row r="30" spans="1:23" ht="12" customHeight="1">
      <c r="A30" s="43" t="s">
        <v>27</v>
      </c>
      <c r="B30" s="44"/>
      <c r="C30" s="44"/>
      <c r="D30" s="44"/>
      <c r="E30" s="44"/>
      <c r="F30" s="44"/>
      <c r="G30" s="45"/>
      <c r="H30" s="44"/>
      <c r="I30" s="153" t="s">
        <v>16</v>
      </c>
      <c r="J30" s="140"/>
      <c r="K30" s="153" t="s">
        <v>17</v>
      </c>
      <c r="L30" s="140"/>
      <c r="M30" s="153" t="s">
        <v>18</v>
      </c>
      <c r="N30" s="138"/>
      <c r="O30" s="140"/>
      <c r="P30" s="75"/>
      <c r="Q30" s="20"/>
      <c r="R30" s="20"/>
      <c r="S30" s="98" t="s">
        <v>28</v>
      </c>
      <c r="T30" s="98"/>
      <c r="U30" s="98"/>
      <c r="V30" s="20"/>
      <c r="W30" s="99"/>
    </row>
    <row r="31" spans="1:23" ht="12" customHeight="1">
      <c r="A31" s="46" t="s">
        <v>42</v>
      </c>
      <c r="G31" s="47" t="s">
        <v>29</v>
      </c>
      <c r="H31" s="48"/>
      <c r="I31" s="154">
        <f>G26+O26</f>
        <v>1846.4</v>
      </c>
      <c r="J31" s="146"/>
      <c r="K31" s="154">
        <f>H26+P26</f>
        <v>1587.1999999999998</v>
      </c>
      <c r="L31" s="178"/>
      <c r="M31" s="154">
        <f>I26+Q26</f>
        <v>1803.2</v>
      </c>
      <c r="N31" s="150"/>
      <c r="O31" s="146"/>
      <c r="P31" s="149"/>
      <c r="Q31" s="146"/>
      <c r="R31" s="20"/>
      <c r="S31" s="156" t="s">
        <v>43</v>
      </c>
      <c r="T31" s="157"/>
      <c r="U31" s="157"/>
      <c r="V31" s="157"/>
      <c r="W31" s="158"/>
    </row>
    <row r="32" spans="1:23" ht="12" customHeight="1">
      <c r="A32" s="6"/>
      <c r="G32" s="145" t="s">
        <v>31</v>
      </c>
      <c r="H32" s="146"/>
      <c r="I32" s="76"/>
      <c r="J32" s="77"/>
      <c r="K32" s="78"/>
      <c r="L32" s="77"/>
      <c r="M32" s="78"/>
      <c r="N32" s="2"/>
      <c r="O32" s="77"/>
      <c r="P32" s="147">
        <v>500</v>
      </c>
      <c r="Q32" s="146"/>
      <c r="R32" s="20"/>
      <c r="S32" s="100"/>
      <c r="T32" s="100"/>
      <c r="U32" s="100"/>
      <c r="V32" s="101"/>
      <c r="W32" s="96"/>
    </row>
    <row r="33" spans="1:23" ht="12" customHeight="1">
      <c r="A33" s="49" t="s">
        <v>32</v>
      </c>
      <c r="G33" s="47" t="s">
        <v>33</v>
      </c>
      <c r="H33" s="48"/>
      <c r="I33" s="79"/>
      <c r="J33" s="20"/>
      <c r="K33" s="75"/>
      <c r="L33" s="20"/>
      <c r="M33" s="75"/>
      <c r="N33" s="80"/>
      <c r="O33" s="20"/>
      <c r="P33" s="148">
        <f>I31+K31+M31+P32</f>
        <v>5736.8</v>
      </c>
      <c r="Q33" s="146"/>
      <c r="R33" s="20" t="s">
        <v>34</v>
      </c>
      <c r="S33" s="20"/>
      <c r="T33" s="20"/>
      <c r="U33" s="20"/>
      <c r="V33" s="101"/>
      <c r="W33" s="96"/>
    </row>
    <row r="34" spans="1:23" ht="12" customHeight="1">
      <c r="A34" s="6" t="s">
        <v>205</v>
      </c>
      <c r="G34" s="47" t="s">
        <v>35</v>
      </c>
      <c r="H34" s="48"/>
      <c r="I34" s="149"/>
      <c r="J34" s="146"/>
      <c r="K34" s="149"/>
      <c r="L34" s="146"/>
      <c r="M34" s="149"/>
      <c r="N34" s="150"/>
      <c r="O34" s="146"/>
      <c r="P34" s="147">
        <v>0.8</v>
      </c>
      <c r="Q34" s="146"/>
      <c r="R34" s="20" t="s">
        <v>36</v>
      </c>
      <c r="S34" s="20"/>
      <c r="T34" s="20"/>
      <c r="U34" s="20"/>
      <c r="V34" s="101"/>
      <c r="W34" s="96"/>
    </row>
    <row r="35" spans="1:23" ht="12" customHeight="1">
      <c r="A35" s="6"/>
      <c r="G35" s="137" t="s">
        <v>37</v>
      </c>
      <c r="H35" s="138"/>
      <c r="I35" s="138"/>
      <c r="J35" s="81"/>
      <c r="K35" s="82"/>
      <c r="L35" s="81"/>
      <c r="M35" s="82"/>
      <c r="N35" s="83"/>
      <c r="O35" s="81"/>
      <c r="P35" s="139">
        <f>P33/P34</f>
        <v>7171</v>
      </c>
      <c r="Q35" s="140"/>
      <c r="R35" s="81" t="s">
        <v>38</v>
      </c>
      <c r="S35" s="81"/>
      <c r="T35" s="81"/>
      <c r="U35" s="81"/>
      <c r="V35" s="102"/>
      <c r="W35" s="103"/>
    </row>
    <row r="36" spans="1:23" ht="12" customHeight="1" thickBot="1">
      <c r="A36" s="50"/>
      <c r="B36" s="51"/>
      <c r="C36" s="51"/>
      <c r="D36" s="51"/>
      <c r="E36" s="51"/>
      <c r="F36" s="51"/>
      <c r="G36" s="52" t="s">
        <v>39</v>
      </c>
      <c r="H36" s="53"/>
      <c r="I36" s="141"/>
      <c r="J36" s="142"/>
      <c r="K36" s="141"/>
      <c r="L36" s="142"/>
      <c r="M36" s="141"/>
      <c r="N36" s="143"/>
      <c r="O36" s="142"/>
      <c r="P36" s="144">
        <f>ROUNDUP(P33/575,1)</f>
        <v>10</v>
      </c>
      <c r="Q36" s="142"/>
      <c r="R36" s="104" t="s">
        <v>40</v>
      </c>
      <c r="S36" s="104"/>
      <c r="T36" s="104"/>
      <c r="U36" s="104"/>
      <c r="V36" s="105"/>
      <c r="W36" s="106"/>
    </row>
    <row r="37" spans="1:23" ht="12" customHeight="1">
      <c r="A37" s="9"/>
      <c r="G37" s="10"/>
      <c r="J37" s="42"/>
      <c r="N37" s="54"/>
      <c r="R37" s="29"/>
      <c r="W37" s="87"/>
    </row>
    <row r="38" spans="1:23" ht="12" customHeight="1" thickBot="1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07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 ht="12" customHeight="1">
      <c r="G49" s="10"/>
      <c r="J49" s="42"/>
      <c r="N49" s="54"/>
      <c r="R49" s="29"/>
    </row>
    <row r="50" spans="7:18" ht="12" customHeight="1">
      <c r="G50" s="10"/>
      <c r="J50" s="42"/>
      <c r="N50" s="54"/>
      <c r="R50" s="29"/>
    </row>
    <row r="51" spans="7:18" ht="12" customHeight="1">
      <c r="G51" s="10"/>
      <c r="J51" s="42"/>
      <c r="N51" s="54"/>
      <c r="R51" s="29"/>
    </row>
    <row r="52" spans="7:18" ht="12" customHeight="1">
      <c r="G52" s="10"/>
      <c r="J52" s="42"/>
      <c r="N52" s="54"/>
      <c r="R52" s="29"/>
    </row>
    <row r="53" spans="7:18" ht="12" customHeight="1">
      <c r="G53" s="10"/>
      <c r="J53" s="42"/>
      <c r="N53" s="54"/>
      <c r="R53" s="29"/>
    </row>
    <row r="54" spans="7:18" ht="12" customHeight="1">
      <c r="G54" s="10"/>
      <c r="J54" s="42"/>
      <c r="N54" s="54"/>
      <c r="R54" s="29"/>
    </row>
    <row r="55" spans="7:18" ht="12" customHeight="1">
      <c r="G55" s="10"/>
      <c r="J55" s="42"/>
      <c r="N55" s="54"/>
      <c r="R55" s="29"/>
    </row>
    <row r="56" spans="7:18" ht="12" customHeight="1">
      <c r="G56" s="10"/>
      <c r="J56" s="42"/>
      <c r="N56" s="54"/>
      <c r="R56" s="29"/>
    </row>
    <row r="57" spans="7:18" ht="12" customHeight="1">
      <c r="G57" s="10"/>
      <c r="J57" s="42"/>
      <c r="N57" s="54"/>
      <c r="R57" s="29"/>
    </row>
    <row r="58" spans="7:18" ht="12" customHeight="1">
      <c r="G58" s="10"/>
      <c r="J58" s="42"/>
      <c r="N58" s="54"/>
      <c r="R58" s="29"/>
    </row>
    <row r="59" spans="7:18" ht="12" customHeight="1">
      <c r="G59" s="10"/>
      <c r="J59" s="42"/>
      <c r="N59" s="54"/>
      <c r="R59" s="29"/>
    </row>
    <row r="60" spans="7:18" ht="12" customHeight="1">
      <c r="G60" s="10"/>
      <c r="J60" s="42"/>
      <c r="N60" s="54"/>
      <c r="R60" s="29"/>
    </row>
    <row r="61" spans="7:18" ht="12" customHeight="1">
      <c r="G61" s="10"/>
      <c r="J61" s="42"/>
      <c r="N61" s="54"/>
      <c r="R61" s="29"/>
    </row>
    <row r="62" spans="7:18" ht="12" customHeight="1">
      <c r="G62" s="10"/>
      <c r="J62" s="42"/>
      <c r="N62" s="54"/>
      <c r="R62" s="29"/>
    </row>
    <row r="63" spans="7:18" ht="12" customHeight="1">
      <c r="G63" s="10"/>
      <c r="J63" s="42"/>
      <c r="N63" s="54"/>
      <c r="R63" s="29"/>
    </row>
    <row r="64" spans="7:18" ht="12" customHeight="1">
      <c r="G64" s="10"/>
      <c r="J64" s="42"/>
      <c r="N64" s="54"/>
      <c r="R64" s="29"/>
    </row>
    <row r="65" spans="7:18" ht="12" customHeight="1">
      <c r="G65" s="10"/>
      <c r="J65" s="42"/>
      <c r="N65" s="54"/>
      <c r="R65" s="29"/>
    </row>
    <row r="66" spans="7:18" ht="12" customHeight="1">
      <c r="G66" s="10"/>
      <c r="J66" s="42"/>
      <c r="N66" s="54"/>
      <c r="R66" s="29"/>
    </row>
    <row r="67" spans="7:18" ht="12" customHeight="1">
      <c r="G67" s="10"/>
      <c r="J67" s="42"/>
      <c r="N67" s="54"/>
      <c r="R67" s="29"/>
    </row>
    <row r="68" spans="7:18" ht="12" customHeight="1">
      <c r="G68" s="10"/>
      <c r="J68" s="42"/>
      <c r="N68" s="54"/>
      <c r="R68" s="29"/>
    </row>
    <row r="69" spans="7:18" ht="12" customHeight="1">
      <c r="G69" s="10"/>
      <c r="J69" s="42"/>
      <c r="N69" s="54"/>
      <c r="R69" s="29"/>
    </row>
    <row r="70" spans="7:18" ht="12" customHeight="1">
      <c r="G70" s="10"/>
      <c r="J70" s="42"/>
      <c r="N70" s="54"/>
      <c r="R70" s="29"/>
    </row>
    <row r="71" spans="7:18" ht="12" customHeight="1">
      <c r="G71" s="10"/>
      <c r="J71" s="42"/>
      <c r="N71" s="54"/>
      <c r="R71" s="29"/>
    </row>
    <row r="72" spans="7:18" ht="12" customHeight="1">
      <c r="G72" s="10"/>
      <c r="J72" s="42"/>
      <c r="N72" s="54"/>
      <c r="R72" s="29"/>
    </row>
    <row r="73" spans="7:18" ht="12" customHeight="1">
      <c r="G73" s="10"/>
      <c r="J73" s="42"/>
      <c r="N73" s="54"/>
      <c r="R73" s="29"/>
    </row>
    <row r="74" spans="7:18" ht="12" customHeight="1">
      <c r="G74" s="10"/>
      <c r="J74" s="42"/>
      <c r="N74" s="54"/>
      <c r="R74" s="29"/>
    </row>
    <row r="75" spans="7:18" ht="12" customHeight="1">
      <c r="G75" s="10"/>
      <c r="J75" s="42"/>
      <c r="N75" s="54"/>
      <c r="R75" s="29"/>
    </row>
    <row r="76" spans="7:18" ht="12" customHeight="1">
      <c r="G76" s="10"/>
      <c r="J76" s="42"/>
      <c r="N76" s="54"/>
      <c r="R76" s="29"/>
    </row>
    <row r="77" spans="7:18" ht="12" customHeight="1">
      <c r="G77" s="10"/>
      <c r="J77" s="42"/>
      <c r="N77" s="54"/>
      <c r="R77" s="29"/>
    </row>
    <row r="78" spans="7:18" ht="12" customHeight="1">
      <c r="G78" s="10"/>
      <c r="J78" s="42"/>
      <c r="N78" s="54"/>
      <c r="R78" s="29"/>
    </row>
    <row r="79" spans="7:18" ht="12" customHeight="1">
      <c r="G79" s="10"/>
      <c r="J79" s="42"/>
      <c r="N79" s="54"/>
      <c r="R79" s="29"/>
    </row>
    <row r="80" spans="7:18" ht="12" customHeight="1">
      <c r="G80" s="10"/>
      <c r="J80" s="42"/>
      <c r="N80" s="54"/>
      <c r="R80" s="29"/>
    </row>
    <row r="81" spans="7:18" ht="12" customHeight="1">
      <c r="G81" s="10"/>
      <c r="J81" s="42"/>
      <c r="N81" s="54"/>
      <c r="R81" s="29"/>
    </row>
    <row r="82" spans="7:18" ht="12" customHeight="1">
      <c r="G82" s="10"/>
      <c r="J82" s="42"/>
      <c r="N82" s="54"/>
      <c r="R82" s="29"/>
    </row>
    <row r="83" spans="7:18" ht="12" customHeight="1">
      <c r="G83" s="10"/>
      <c r="J83" s="42"/>
      <c r="N83" s="54"/>
      <c r="R83" s="29"/>
    </row>
    <row r="84" spans="7:18" ht="12" customHeight="1">
      <c r="G84" s="10"/>
      <c r="J84" s="42"/>
      <c r="N84" s="54"/>
      <c r="R84" s="29"/>
    </row>
    <row r="85" spans="7:18" ht="12" customHeight="1">
      <c r="G85" s="10"/>
      <c r="J85" s="42"/>
      <c r="N85" s="54"/>
      <c r="R85" s="29"/>
    </row>
    <row r="86" spans="7:18" ht="12" customHeight="1">
      <c r="G86" s="10"/>
      <c r="J86" s="42"/>
      <c r="N86" s="54"/>
      <c r="R86" s="29"/>
    </row>
    <row r="87" spans="7:18" ht="12" customHeight="1">
      <c r="G87" s="10"/>
      <c r="J87" s="42"/>
      <c r="N87" s="54"/>
      <c r="R87" s="29"/>
    </row>
    <row r="88" spans="7:18" ht="12" customHeight="1">
      <c r="G88" s="10"/>
      <c r="J88" s="42"/>
      <c r="N88" s="54"/>
      <c r="R88" s="29"/>
    </row>
    <row r="89" spans="7:18" ht="12" customHeight="1">
      <c r="G89" s="10"/>
      <c r="J89" s="42"/>
      <c r="N89" s="54"/>
      <c r="R89" s="29"/>
    </row>
    <row r="90" spans="7:18" ht="12" customHeight="1">
      <c r="G90" s="10"/>
      <c r="J90" s="42"/>
      <c r="N90" s="54"/>
      <c r="R90" s="29"/>
    </row>
    <row r="91" spans="7:18" ht="12" customHeight="1">
      <c r="G91" s="10"/>
      <c r="J91" s="42"/>
      <c r="N91" s="54"/>
      <c r="R91" s="29"/>
    </row>
    <row r="92" spans="7:18" ht="12" customHeight="1">
      <c r="G92" s="10"/>
      <c r="J92" s="42"/>
      <c r="N92" s="54"/>
      <c r="R92" s="29"/>
    </row>
    <row r="93" spans="7:18" ht="12" customHeight="1">
      <c r="G93" s="10"/>
      <c r="J93" s="42"/>
      <c r="N93" s="54"/>
      <c r="R93" s="29"/>
    </row>
    <row r="94" spans="7:18" ht="12" customHeight="1">
      <c r="G94" s="10"/>
      <c r="J94" s="42"/>
      <c r="N94" s="54"/>
      <c r="R94" s="29"/>
    </row>
    <row r="95" spans="7:18" ht="12" customHeight="1">
      <c r="G95" s="10"/>
      <c r="J95" s="42"/>
      <c r="N95" s="54"/>
      <c r="R95" s="29"/>
    </row>
    <row r="96" spans="7:18" ht="12" customHeight="1">
      <c r="G96" s="10"/>
      <c r="J96" s="42"/>
      <c r="N96" s="54"/>
      <c r="R96" s="29"/>
    </row>
    <row r="97" spans="7:18" ht="12" customHeight="1">
      <c r="G97" s="10"/>
      <c r="J97" s="42"/>
      <c r="N97" s="54"/>
      <c r="R97" s="29"/>
    </row>
    <row r="98" spans="7:18" ht="12" customHeight="1">
      <c r="G98" s="10"/>
      <c r="J98" s="42"/>
      <c r="N98" s="54"/>
      <c r="R98" s="29"/>
    </row>
    <row r="99" spans="7:18" ht="12" customHeight="1">
      <c r="G99" s="10"/>
      <c r="J99" s="42"/>
      <c r="N99" s="54"/>
      <c r="R99" s="29"/>
    </row>
    <row r="100" spans="7:18" ht="12" customHeight="1">
      <c r="G100" s="10"/>
      <c r="J100" s="42"/>
      <c r="N100" s="54"/>
      <c r="R100" s="29"/>
    </row>
  </sheetData>
  <mergeCells count="33">
    <mergeCell ref="M31:O31"/>
    <mergeCell ref="P31:Q31"/>
    <mergeCell ref="I31:J31"/>
    <mergeCell ref="K31:L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G32:H32"/>
    <mergeCell ref="P32:Q32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L8:L26"/>
    <mergeCell ref="A26:B26"/>
    <mergeCell ref="A28:B28"/>
  </mergeCells>
  <phoneticPr fontId="15" type="noConversion"/>
  <pageMargins left="0.74803149606299202" right="0.74803149606299202" top="0.98425196850393704" bottom="0.98425196850393704" header="0" footer="0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8239-D8AD-4C43-9F8D-713953D134F6}">
  <sheetPr>
    <pageSetUpPr fitToPage="1"/>
  </sheetPr>
  <dimension ref="A1:W100"/>
  <sheetViews>
    <sheetView zoomScaleNormal="100" workbookViewId="0">
      <selection activeCell="H16" sqref="H16"/>
    </sheetView>
  </sheetViews>
  <sheetFormatPr defaultColWidth="16.6640625" defaultRowHeight="15" customHeight="1"/>
  <cols>
    <col min="1" max="1" width="27.109375" customWidth="1"/>
    <col min="2" max="2" width="7.6640625" customWidth="1"/>
    <col min="3" max="3" width="5.6640625" customWidth="1"/>
    <col min="4" max="4" width="6.33203125" customWidth="1"/>
    <col min="5" max="9" width="7.6640625" customWidth="1"/>
    <col min="10" max="10" width="2.44140625" customWidth="1"/>
    <col min="11" max="11" width="3.6640625" customWidth="1"/>
    <col min="12" max="12" width="7.109375" customWidth="1"/>
    <col min="13" max="13" width="3.6640625" customWidth="1"/>
    <col min="14" max="14" width="2.44140625" customWidth="1"/>
    <col min="15" max="19" width="7.6640625" customWidth="1"/>
    <col min="20" max="21" width="5.6640625" customWidth="1"/>
    <col min="22" max="22" width="7.6640625" customWidth="1"/>
    <col min="23" max="23" width="25.44140625" customWidth="1"/>
    <col min="24" max="24" width="8.6640625" customWidth="1"/>
  </cols>
  <sheetData>
    <row r="1" spans="1:23" ht="12" customHeight="1">
      <c r="A1" s="177" t="s">
        <v>166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3"/>
    </row>
    <row r="2" spans="1:23" ht="12" customHeight="1">
      <c r="A2" s="110" t="s">
        <v>0</v>
      </c>
      <c r="B2" s="176" t="s">
        <v>128</v>
      </c>
      <c r="C2" s="150"/>
      <c r="D2" s="150"/>
      <c r="E2" s="3"/>
      <c r="F2" s="3"/>
      <c r="G2" s="4"/>
      <c r="H2" s="5"/>
      <c r="I2" s="5"/>
      <c r="J2" s="42"/>
      <c r="K2" s="5"/>
      <c r="L2" s="5"/>
      <c r="M2" s="5"/>
      <c r="N2" s="54"/>
      <c r="O2" s="5"/>
      <c r="P2" s="55" t="s">
        <v>1</v>
      </c>
      <c r="Q2" s="113" t="s">
        <v>207</v>
      </c>
      <c r="R2" s="3"/>
      <c r="S2" s="3"/>
      <c r="T2" s="3"/>
      <c r="U2" s="3"/>
      <c r="V2" s="84"/>
      <c r="W2" s="85"/>
    </row>
    <row r="3" spans="1:23" ht="12" customHeight="1">
      <c r="A3" s="109" t="s">
        <v>2</v>
      </c>
      <c r="B3" s="174" t="s">
        <v>3</v>
      </c>
      <c r="C3" s="150"/>
      <c r="D3" s="150"/>
      <c r="E3" s="3"/>
      <c r="F3" s="3"/>
      <c r="G3" s="4"/>
      <c r="H3" s="3"/>
      <c r="I3" s="3"/>
      <c r="J3" s="56"/>
      <c r="K3" s="3"/>
      <c r="L3" s="3"/>
      <c r="M3" s="3"/>
      <c r="N3" s="57"/>
      <c r="O3" s="3"/>
      <c r="P3" s="55" t="s">
        <v>4</v>
      </c>
      <c r="Q3" s="113" t="s">
        <v>69</v>
      </c>
      <c r="R3" s="3"/>
      <c r="S3" s="3"/>
      <c r="T3" s="3"/>
      <c r="U3" s="3"/>
      <c r="V3" s="3"/>
      <c r="W3" s="86"/>
    </row>
    <row r="4" spans="1:23" ht="12" customHeight="1">
      <c r="A4" s="6" t="s">
        <v>5</v>
      </c>
      <c r="B4" s="175"/>
      <c r="C4" s="138"/>
      <c r="D4" s="138"/>
      <c r="E4" s="7"/>
      <c r="F4" s="5"/>
      <c r="G4" s="8"/>
      <c r="H4" s="5"/>
      <c r="I4" s="5"/>
      <c r="J4" s="42"/>
      <c r="K4" s="5"/>
      <c r="L4" s="5"/>
      <c r="M4" s="5"/>
      <c r="N4" s="54"/>
      <c r="O4" s="5"/>
      <c r="P4" s="5" t="s">
        <v>6</v>
      </c>
      <c r="Q4" s="175" t="s">
        <v>7</v>
      </c>
      <c r="R4" s="138"/>
      <c r="S4" s="5"/>
      <c r="T4" s="5"/>
      <c r="U4" s="5"/>
      <c r="V4" s="5"/>
      <c r="W4" s="85"/>
    </row>
    <row r="5" spans="1:23" ht="12" customHeight="1">
      <c r="A5" s="9"/>
      <c r="G5" s="10"/>
      <c r="J5" s="42"/>
      <c r="N5" s="54"/>
      <c r="W5" s="87"/>
    </row>
    <row r="6" spans="1:23" ht="34.5" customHeight="1" thickBot="1">
      <c r="A6" s="11" t="s">
        <v>8</v>
      </c>
      <c r="B6" s="12" t="s">
        <v>9</v>
      </c>
      <c r="C6" s="12" t="s">
        <v>10</v>
      </c>
      <c r="D6" s="13" t="s">
        <v>11</v>
      </c>
      <c r="E6" s="13" t="s">
        <v>12</v>
      </c>
      <c r="F6" s="13" t="s">
        <v>13</v>
      </c>
      <c r="G6" s="159" t="s">
        <v>14</v>
      </c>
      <c r="H6" s="160"/>
      <c r="I6" s="161"/>
      <c r="J6" s="162" t="s">
        <v>15</v>
      </c>
      <c r="K6" s="163"/>
      <c r="L6" s="163"/>
      <c r="M6" s="163"/>
      <c r="N6" s="164"/>
      <c r="O6" s="159" t="s">
        <v>14</v>
      </c>
      <c r="P6" s="160"/>
      <c r="Q6" s="161"/>
      <c r="R6" s="13" t="s">
        <v>13</v>
      </c>
      <c r="S6" s="13" t="s">
        <v>12</v>
      </c>
      <c r="T6" s="13" t="s">
        <v>11</v>
      </c>
      <c r="U6" s="12" t="s">
        <v>10</v>
      </c>
      <c r="V6" s="12" t="s">
        <v>9</v>
      </c>
      <c r="W6" s="88" t="s">
        <v>8</v>
      </c>
    </row>
    <row r="7" spans="1:23" ht="12" customHeight="1" thickTop="1">
      <c r="A7" s="14"/>
      <c r="B7" s="15"/>
      <c r="C7" s="16"/>
      <c r="D7" s="16"/>
      <c r="E7" s="16"/>
      <c r="F7" s="16"/>
      <c r="G7" s="17" t="s">
        <v>16</v>
      </c>
      <c r="H7" s="18" t="s">
        <v>17</v>
      </c>
      <c r="I7" s="18" t="s">
        <v>18</v>
      </c>
      <c r="J7" s="58"/>
      <c r="K7" s="59"/>
      <c r="L7" s="60"/>
      <c r="M7" s="60"/>
      <c r="N7" s="61"/>
      <c r="O7" s="62" t="s">
        <v>16</v>
      </c>
      <c r="P7" s="18" t="s">
        <v>17</v>
      </c>
      <c r="Q7" s="89" t="s">
        <v>18</v>
      </c>
      <c r="R7" s="90"/>
      <c r="S7" s="90"/>
      <c r="T7" s="90"/>
      <c r="U7" s="90"/>
      <c r="V7" s="15"/>
      <c r="W7" s="91"/>
    </row>
    <row r="8" spans="1:23" ht="12" customHeight="1">
      <c r="A8" s="112" t="s">
        <v>70</v>
      </c>
      <c r="B8" s="27" t="s">
        <v>97</v>
      </c>
      <c r="C8" s="21">
        <v>16</v>
      </c>
      <c r="D8" s="28">
        <v>100</v>
      </c>
      <c r="E8" s="22">
        <f t="shared" ref="E8:E25" si="0">C8*D8</f>
        <v>1600</v>
      </c>
      <c r="F8" s="23">
        <v>0.45</v>
      </c>
      <c r="G8" s="24">
        <f>E8*F8</f>
        <v>720</v>
      </c>
      <c r="H8" s="21"/>
      <c r="I8" s="63"/>
      <c r="J8" s="64">
        <v>1</v>
      </c>
      <c r="K8" s="65">
        <v>15</v>
      </c>
      <c r="L8" s="168"/>
      <c r="M8" s="65">
        <v>15</v>
      </c>
      <c r="N8" s="66">
        <v>10</v>
      </c>
      <c r="O8" s="24">
        <f>S8*R8</f>
        <v>720</v>
      </c>
      <c r="Q8" s="24"/>
      <c r="R8" s="23">
        <v>0.45</v>
      </c>
      <c r="S8" s="92">
        <f t="shared" ref="S8:S25" si="1">T8*U8</f>
        <v>1600</v>
      </c>
      <c r="T8" s="28">
        <v>100</v>
      </c>
      <c r="U8" s="92">
        <v>16</v>
      </c>
      <c r="V8" s="27" t="s">
        <v>97</v>
      </c>
      <c r="W8" s="115" t="s">
        <v>73</v>
      </c>
    </row>
    <row r="9" spans="1:23" ht="12" customHeight="1">
      <c r="A9" s="112" t="s">
        <v>71</v>
      </c>
      <c r="B9" s="27" t="s">
        <v>97</v>
      </c>
      <c r="C9" s="21">
        <v>31</v>
      </c>
      <c r="D9" s="28">
        <v>100</v>
      </c>
      <c r="E9" s="22">
        <f t="shared" si="0"/>
        <v>3100</v>
      </c>
      <c r="F9" s="23">
        <v>0.45</v>
      </c>
      <c r="G9" s="25"/>
      <c r="H9" s="25">
        <f>E9*F9</f>
        <v>1395</v>
      </c>
      <c r="J9" s="64">
        <v>2</v>
      </c>
      <c r="K9" s="65">
        <v>15</v>
      </c>
      <c r="L9" s="169"/>
      <c r="M9" s="65">
        <v>15</v>
      </c>
      <c r="N9" s="66">
        <v>11</v>
      </c>
      <c r="P9" s="25">
        <f>S9*R9</f>
        <v>945</v>
      </c>
      <c r="Q9" s="25"/>
      <c r="R9" s="23">
        <v>0.45</v>
      </c>
      <c r="S9" s="92">
        <f t="shared" si="1"/>
        <v>2100</v>
      </c>
      <c r="T9" s="28">
        <v>100</v>
      </c>
      <c r="U9" s="92">
        <v>21</v>
      </c>
      <c r="V9" s="27" t="s">
        <v>97</v>
      </c>
      <c r="W9" s="115" t="s">
        <v>74</v>
      </c>
    </row>
    <row r="10" spans="1:23" ht="12" customHeight="1">
      <c r="A10" s="112" t="s">
        <v>72</v>
      </c>
      <c r="B10" s="27" t="s">
        <v>97</v>
      </c>
      <c r="C10" s="21">
        <v>15</v>
      </c>
      <c r="D10" s="28">
        <v>100</v>
      </c>
      <c r="E10" s="22">
        <f t="shared" si="0"/>
        <v>1500</v>
      </c>
      <c r="F10" s="23">
        <v>0.45</v>
      </c>
      <c r="G10" s="25"/>
      <c r="I10" s="25">
        <f>E10*F10</f>
        <v>675</v>
      </c>
      <c r="J10" s="64">
        <v>3</v>
      </c>
      <c r="K10" s="65">
        <v>15</v>
      </c>
      <c r="L10" s="169"/>
      <c r="M10" s="65">
        <v>10</v>
      </c>
      <c r="N10" s="66">
        <v>12</v>
      </c>
      <c r="O10" s="27"/>
      <c r="P10" s="25"/>
      <c r="Q10" s="25">
        <f>S10*R10</f>
        <v>450</v>
      </c>
      <c r="R10" s="23">
        <v>0.45</v>
      </c>
      <c r="S10" s="92">
        <v>1000</v>
      </c>
      <c r="T10" s="28">
        <v>100</v>
      </c>
      <c r="U10" s="92">
        <v>1</v>
      </c>
      <c r="V10" s="27" t="s">
        <v>19</v>
      </c>
      <c r="W10" s="115" t="s">
        <v>171</v>
      </c>
    </row>
    <row r="11" spans="1:23" ht="12" customHeight="1">
      <c r="A11" s="112" t="s">
        <v>21</v>
      </c>
      <c r="B11" s="27" t="s">
        <v>97</v>
      </c>
      <c r="C11" s="21">
        <v>0</v>
      </c>
      <c r="D11" s="28">
        <v>100</v>
      </c>
      <c r="E11" s="22">
        <f t="shared" si="0"/>
        <v>0</v>
      </c>
      <c r="F11" s="23">
        <v>0.45</v>
      </c>
      <c r="G11" s="25">
        <f>E11*F11</f>
        <v>0</v>
      </c>
      <c r="H11" s="25"/>
      <c r="I11" s="25"/>
      <c r="J11" s="64">
        <v>4</v>
      </c>
      <c r="K11" s="65">
        <v>15</v>
      </c>
      <c r="L11" s="169"/>
      <c r="M11" s="65">
        <v>15</v>
      </c>
      <c r="N11" s="66">
        <v>13</v>
      </c>
      <c r="O11" s="27">
        <f>S11*R11</f>
        <v>945</v>
      </c>
      <c r="Q11" s="27"/>
      <c r="R11" s="23">
        <v>0.45</v>
      </c>
      <c r="S11" s="92">
        <f>T11*U11</f>
        <v>2100</v>
      </c>
      <c r="T11" s="28">
        <v>100</v>
      </c>
      <c r="U11" s="92">
        <v>21</v>
      </c>
      <c r="V11" s="27" t="s">
        <v>97</v>
      </c>
      <c r="W11" s="115" t="s">
        <v>172</v>
      </c>
    </row>
    <row r="12" spans="1:23" ht="12" customHeight="1">
      <c r="A12" s="112" t="s">
        <v>168</v>
      </c>
      <c r="B12" s="27" t="s">
        <v>97</v>
      </c>
      <c r="C12" s="21">
        <v>17</v>
      </c>
      <c r="D12" s="28">
        <v>100</v>
      </c>
      <c r="E12" s="22">
        <f t="shared" si="0"/>
        <v>1700</v>
      </c>
      <c r="F12" s="23">
        <v>0.45</v>
      </c>
      <c r="G12" s="25"/>
      <c r="H12" s="27">
        <f>E12*F12</f>
        <v>765</v>
      </c>
      <c r="J12" s="64">
        <v>5</v>
      </c>
      <c r="K12" s="65">
        <v>15</v>
      </c>
      <c r="L12" s="169"/>
      <c r="M12" s="65">
        <v>15</v>
      </c>
      <c r="N12" s="66">
        <v>14</v>
      </c>
      <c r="P12" s="27">
        <f>S12*R12</f>
        <v>0</v>
      </c>
      <c r="Q12" s="27"/>
      <c r="R12" s="23">
        <v>0.45</v>
      </c>
      <c r="S12" s="92">
        <f t="shared" si="1"/>
        <v>0</v>
      </c>
      <c r="T12" s="28">
        <v>100</v>
      </c>
      <c r="U12" s="21">
        <v>0</v>
      </c>
      <c r="V12" s="27" t="s">
        <v>97</v>
      </c>
      <c r="W12" s="115" t="s">
        <v>21</v>
      </c>
    </row>
    <row r="13" spans="1:23" ht="12" customHeight="1">
      <c r="A13" s="112" t="s">
        <v>169</v>
      </c>
      <c r="B13" s="27" t="s">
        <v>19</v>
      </c>
      <c r="C13" s="21">
        <v>1</v>
      </c>
      <c r="D13" s="28">
        <v>1000</v>
      </c>
      <c r="E13" s="22">
        <f t="shared" si="0"/>
        <v>1000</v>
      </c>
      <c r="F13" s="23">
        <v>0.45</v>
      </c>
      <c r="G13" s="25"/>
      <c r="I13" s="25">
        <f>E13*F13</f>
        <v>450</v>
      </c>
      <c r="J13" s="64">
        <v>6</v>
      </c>
      <c r="K13" s="65">
        <v>10</v>
      </c>
      <c r="L13" s="169"/>
      <c r="M13" s="67">
        <v>10</v>
      </c>
      <c r="N13" s="66">
        <v>15</v>
      </c>
      <c r="O13" s="27"/>
      <c r="P13" s="27"/>
      <c r="Q13" s="27">
        <f>S13*R13</f>
        <v>450</v>
      </c>
      <c r="R13" s="23">
        <v>0.45</v>
      </c>
      <c r="S13" s="92">
        <v>1000</v>
      </c>
      <c r="T13" s="28">
        <v>100</v>
      </c>
      <c r="U13" s="21">
        <v>1</v>
      </c>
      <c r="V13" s="27" t="s">
        <v>19</v>
      </c>
      <c r="W13" s="115" t="s">
        <v>174</v>
      </c>
    </row>
    <row r="14" spans="1:23" ht="12" customHeight="1">
      <c r="A14" s="112" t="s">
        <v>170</v>
      </c>
      <c r="B14" s="27" t="s">
        <v>97</v>
      </c>
      <c r="C14" s="21">
        <v>16</v>
      </c>
      <c r="D14" s="28">
        <v>100</v>
      </c>
      <c r="E14" s="22">
        <f t="shared" si="0"/>
        <v>1600</v>
      </c>
      <c r="F14" s="23">
        <v>0.45</v>
      </c>
      <c r="G14" s="25">
        <f>E14*F14</f>
        <v>720</v>
      </c>
      <c r="H14" s="27"/>
      <c r="I14" s="27"/>
      <c r="J14" s="64">
        <v>7</v>
      </c>
      <c r="K14" s="65">
        <v>15</v>
      </c>
      <c r="L14" s="169"/>
      <c r="M14" s="67">
        <v>15</v>
      </c>
      <c r="N14" s="66">
        <v>16</v>
      </c>
      <c r="O14" s="27">
        <f>S14*R14</f>
        <v>0</v>
      </c>
      <c r="Q14" s="27"/>
      <c r="R14" s="23">
        <v>0.45</v>
      </c>
      <c r="S14" s="92">
        <f t="shared" si="1"/>
        <v>0</v>
      </c>
      <c r="T14" s="28">
        <v>100</v>
      </c>
      <c r="U14" s="21">
        <v>0</v>
      </c>
      <c r="V14" s="27" t="s">
        <v>97</v>
      </c>
      <c r="W14" s="115" t="s">
        <v>21</v>
      </c>
    </row>
    <row r="15" spans="1:23" ht="12" customHeight="1">
      <c r="A15" s="112" t="s">
        <v>21</v>
      </c>
      <c r="B15" s="27" t="s">
        <v>97</v>
      </c>
      <c r="C15" s="21">
        <v>0</v>
      </c>
      <c r="D15" s="28">
        <v>100</v>
      </c>
      <c r="E15" s="22">
        <f t="shared" si="0"/>
        <v>0</v>
      </c>
      <c r="F15" s="23">
        <v>0.45</v>
      </c>
      <c r="G15" s="25"/>
      <c r="H15" s="27">
        <f>E15*F15</f>
        <v>0</v>
      </c>
      <c r="J15" s="64">
        <v>8</v>
      </c>
      <c r="K15" s="68">
        <v>15</v>
      </c>
      <c r="L15" s="169"/>
      <c r="M15" s="67">
        <v>15</v>
      </c>
      <c r="N15" s="66">
        <v>17</v>
      </c>
      <c r="P15" s="27">
        <f>S15*R15</f>
        <v>0</v>
      </c>
      <c r="Q15" s="27"/>
      <c r="R15" s="23">
        <v>0.45</v>
      </c>
      <c r="S15" s="92">
        <f t="shared" si="1"/>
        <v>0</v>
      </c>
      <c r="T15" s="28">
        <v>100</v>
      </c>
      <c r="U15" s="21">
        <v>0</v>
      </c>
      <c r="V15" s="27" t="s">
        <v>97</v>
      </c>
      <c r="W15" s="115" t="s">
        <v>21</v>
      </c>
    </row>
    <row r="16" spans="1:23" ht="12" customHeight="1">
      <c r="A16" s="112" t="s">
        <v>167</v>
      </c>
      <c r="B16" s="27" t="s">
        <v>97</v>
      </c>
      <c r="C16" s="21">
        <v>12</v>
      </c>
      <c r="D16" s="28">
        <v>100</v>
      </c>
      <c r="E16" s="22">
        <f t="shared" si="0"/>
        <v>1200</v>
      </c>
      <c r="F16" s="23">
        <v>0.45</v>
      </c>
      <c r="G16" s="25"/>
      <c r="I16" s="25">
        <f>E16*F16</f>
        <v>540</v>
      </c>
      <c r="J16" s="64">
        <v>9</v>
      </c>
      <c r="K16" s="68">
        <v>15</v>
      </c>
      <c r="L16" s="169"/>
      <c r="M16" s="67">
        <v>15</v>
      </c>
      <c r="N16" s="66">
        <v>18</v>
      </c>
      <c r="O16" s="27"/>
      <c r="P16" s="27"/>
      <c r="Q16" s="27">
        <f>R16*S16</f>
        <v>585</v>
      </c>
      <c r="R16" s="23">
        <v>0.45</v>
      </c>
      <c r="S16" s="92">
        <f t="shared" si="1"/>
        <v>1300</v>
      </c>
      <c r="T16" s="28">
        <v>100</v>
      </c>
      <c r="U16" s="21">
        <v>13</v>
      </c>
      <c r="V16" s="27" t="s">
        <v>97</v>
      </c>
      <c r="W16" s="115" t="s">
        <v>173</v>
      </c>
    </row>
    <row r="17" spans="1:23" ht="12" customHeight="1">
      <c r="A17" s="112" t="s">
        <v>21</v>
      </c>
      <c r="B17" s="27" t="s">
        <v>97</v>
      </c>
      <c r="C17" s="21">
        <v>0</v>
      </c>
      <c r="D17" s="28">
        <v>100</v>
      </c>
      <c r="E17" s="22">
        <f t="shared" si="0"/>
        <v>0</v>
      </c>
      <c r="F17" s="23">
        <v>0.45</v>
      </c>
      <c r="G17" s="27">
        <f>F17*E17</f>
        <v>0</v>
      </c>
      <c r="H17" s="29"/>
      <c r="I17" s="27"/>
      <c r="J17" s="64"/>
      <c r="K17" s="68">
        <v>15</v>
      </c>
      <c r="L17" s="169"/>
      <c r="M17" s="67">
        <v>15</v>
      </c>
      <c r="N17" s="66"/>
      <c r="O17" s="27">
        <f>S17*R17</f>
        <v>0</v>
      </c>
      <c r="Q17" s="27"/>
      <c r="R17" s="23">
        <v>0.45</v>
      </c>
      <c r="S17" s="92">
        <f t="shared" si="1"/>
        <v>0</v>
      </c>
      <c r="T17" s="28">
        <v>100</v>
      </c>
      <c r="U17" s="21">
        <v>0</v>
      </c>
      <c r="V17" s="27" t="s">
        <v>97</v>
      </c>
      <c r="W17" s="115" t="s">
        <v>21</v>
      </c>
    </row>
    <row r="18" spans="1:23" ht="12" customHeight="1">
      <c r="A18" s="19" t="s">
        <v>21</v>
      </c>
      <c r="B18" s="27" t="s">
        <v>97</v>
      </c>
      <c r="C18" s="21">
        <v>0</v>
      </c>
      <c r="D18" s="28">
        <v>100</v>
      </c>
      <c r="E18" s="22">
        <f t="shared" si="0"/>
        <v>0</v>
      </c>
      <c r="F18" s="23">
        <v>0.45</v>
      </c>
      <c r="G18" s="25"/>
      <c r="H18" s="27">
        <f>E18*F18</f>
        <v>0</v>
      </c>
      <c r="J18" s="64"/>
      <c r="K18" s="68">
        <v>10</v>
      </c>
      <c r="L18" s="169"/>
      <c r="M18" s="67">
        <v>30</v>
      </c>
      <c r="N18" s="66"/>
      <c r="P18" s="27">
        <f>R18*S18</f>
        <v>0</v>
      </c>
      <c r="Q18" s="27"/>
      <c r="R18" s="93">
        <v>0.4</v>
      </c>
      <c r="S18" s="92">
        <f t="shared" si="1"/>
        <v>0</v>
      </c>
      <c r="T18" s="22">
        <v>6000</v>
      </c>
      <c r="U18" s="21">
        <v>0</v>
      </c>
      <c r="V18" s="27" t="s">
        <v>97</v>
      </c>
      <c r="W18" s="94" t="s">
        <v>21</v>
      </c>
    </row>
    <row r="19" spans="1:23" ht="12" customHeight="1">
      <c r="A19" s="114" t="s">
        <v>21</v>
      </c>
      <c r="B19" s="27" t="s">
        <v>97</v>
      </c>
      <c r="C19" s="21">
        <v>0</v>
      </c>
      <c r="D19" s="28">
        <v>100</v>
      </c>
      <c r="E19" s="22">
        <f t="shared" si="0"/>
        <v>0</v>
      </c>
      <c r="F19" s="23">
        <v>0.45</v>
      </c>
      <c r="G19" s="25"/>
      <c r="I19" s="27">
        <f>E19*F19</f>
        <v>0</v>
      </c>
      <c r="J19" s="64"/>
      <c r="K19" s="68">
        <v>15</v>
      </c>
      <c r="L19" s="169"/>
      <c r="M19" s="68">
        <v>10</v>
      </c>
      <c r="N19" s="66"/>
      <c r="O19" s="27"/>
      <c r="P19" s="27"/>
      <c r="Q19" s="27">
        <f>R19*S19</f>
        <v>0</v>
      </c>
      <c r="R19" s="93">
        <v>0.45</v>
      </c>
      <c r="S19" s="92">
        <f t="shared" si="1"/>
        <v>0</v>
      </c>
      <c r="T19" s="22">
        <v>1000</v>
      </c>
      <c r="U19" s="92">
        <v>0</v>
      </c>
      <c r="V19" s="27" t="s">
        <v>97</v>
      </c>
      <c r="W19" s="103" t="s">
        <v>21</v>
      </c>
    </row>
    <row r="20" spans="1:23" ht="12" customHeight="1">
      <c r="A20" s="19" t="s">
        <v>21</v>
      </c>
      <c r="B20" s="20" t="s">
        <v>22</v>
      </c>
      <c r="C20" s="21">
        <v>0</v>
      </c>
      <c r="D20" s="31">
        <v>1500</v>
      </c>
      <c r="E20" s="22">
        <f t="shared" si="0"/>
        <v>0</v>
      </c>
      <c r="F20" s="30">
        <v>0.8</v>
      </c>
      <c r="G20" s="27">
        <f>E20*F20</f>
        <v>0</v>
      </c>
      <c r="H20" s="27"/>
      <c r="I20" s="27"/>
      <c r="J20" s="64"/>
      <c r="K20" s="68">
        <v>10</v>
      </c>
      <c r="L20" s="169"/>
      <c r="M20" s="68">
        <v>30</v>
      </c>
      <c r="N20" s="66"/>
      <c r="O20" s="27">
        <f>R20*S20</f>
        <v>0</v>
      </c>
      <c r="Q20" s="27"/>
      <c r="R20" s="93">
        <v>0.6</v>
      </c>
      <c r="S20" s="92">
        <f t="shared" si="1"/>
        <v>0</v>
      </c>
      <c r="T20" s="31">
        <v>3000</v>
      </c>
      <c r="U20" s="92">
        <v>0</v>
      </c>
      <c r="V20" s="27" t="s">
        <v>23</v>
      </c>
      <c r="W20" s="94" t="s">
        <v>21</v>
      </c>
    </row>
    <row r="21" spans="1:23" ht="12" customHeight="1">
      <c r="A21" s="19" t="s">
        <v>21</v>
      </c>
      <c r="B21" s="20" t="s">
        <v>22</v>
      </c>
      <c r="C21" s="21">
        <v>0</v>
      </c>
      <c r="D21" s="31">
        <v>2000</v>
      </c>
      <c r="E21" s="22">
        <f t="shared" si="0"/>
        <v>0</v>
      </c>
      <c r="F21" s="30">
        <v>0.6</v>
      </c>
      <c r="G21" s="25"/>
      <c r="H21" s="27">
        <f>E21*F21</f>
        <v>0</v>
      </c>
      <c r="J21" s="64"/>
      <c r="K21" s="68">
        <v>20</v>
      </c>
      <c r="L21" s="169"/>
      <c r="M21" s="68">
        <v>20</v>
      </c>
      <c r="N21" s="66"/>
      <c r="P21" s="27">
        <f>R21*S21</f>
        <v>0</v>
      </c>
      <c r="Q21" s="27"/>
      <c r="R21" s="93">
        <v>1</v>
      </c>
      <c r="S21" s="92">
        <f t="shared" si="1"/>
        <v>0</v>
      </c>
      <c r="T21" s="31">
        <v>400</v>
      </c>
      <c r="U21" s="92">
        <v>0</v>
      </c>
      <c r="V21" s="27" t="s">
        <v>24</v>
      </c>
      <c r="W21" s="94" t="s">
        <v>21</v>
      </c>
    </row>
    <row r="22" spans="1:23" ht="12" customHeight="1">
      <c r="A22" s="19" t="s">
        <v>21</v>
      </c>
      <c r="B22" s="20" t="s">
        <v>22</v>
      </c>
      <c r="C22" s="21">
        <v>0</v>
      </c>
      <c r="D22" s="28">
        <v>1119</v>
      </c>
      <c r="E22" s="22">
        <f t="shared" si="0"/>
        <v>0</v>
      </c>
      <c r="F22" s="23">
        <v>0.8</v>
      </c>
      <c r="G22" s="25"/>
      <c r="I22" s="27">
        <f>E22*F22</f>
        <v>0</v>
      </c>
      <c r="J22" s="64"/>
      <c r="K22" s="68">
        <v>15</v>
      </c>
      <c r="L22" s="169"/>
      <c r="M22" s="68">
        <v>20</v>
      </c>
      <c r="N22" s="66"/>
      <c r="O22" s="27"/>
      <c r="P22" s="27"/>
      <c r="Q22" s="27">
        <f>R22*S22</f>
        <v>0</v>
      </c>
      <c r="R22" s="23">
        <v>0.8</v>
      </c>
      <c r="S22" s="92">
        <f t="shared" si="1"/>
        <v>0</v>
      </c>
      <c r="T22" s="22">
        <v>1492</v>
      </c>
      <c r="U22" s="92">
        <v>0</v>
      </c>
      <c r="V22" s="27" t="s">
        <v>22</v>
      </c>
      <c r="W22" s="94" t="s">
        <v>21</v>
      </c>
    </row>
    <row r="23" spans="1:23" ht="12" customHeight="1">
      <c r="A23" s="19" t="s">
        <v>21</v>
      </c>
      <c r="B23" s="20" t="s">
        <v>22</v>
      </c>
      <c r="C23" s="21">
        <v>0</v>
      </c>
      <c r="D23" s="31">
        <v>1200</v>
      </c>
      <c r="E23" s="22">
        <f t="shared" si="0"/>
        <v>0</v>
      </c>
      <c r="F23" s="30">
        <v>1</v>
      </c>
      <c r="G23" s="27">
        <f>E23*F23</f>
        <v>0</v>
      </c>
      <c r="H23" s="27"/>
      <c r="I23" s="27"/>
      <c r="J23" s="64"/>
      <c r="K23" s="68">
        <v>20</v>
      </c>
      <c r="L23" s="169"/>
      <c r="M23" s="68">
        <v>20</v>
      </c>
      <c r="N23" s="66"/>
      <c r="O23" s="27">
        <f>R23*S23</f>
        <v>0</v>
      </c>
      <c r="Q23" s="27"/>
      <c r="R23" s="93">
        <v>1</v>
      </c>
      <c r="S23" s="92">
        <f t="shared" si="1"/>
        <v>0</v>
      </c>
      <c r="T23" s="31">
        <v>400</v>
      </c>
      <c r="U23" s="92">
        <v>0</v>
      </c>
      <c r="V23" s="75" t="s">
        <v>24</v>
      </c>
      <c r="W23" s="94" t="s">
        <v>21</v>
      </c>
    </row>
    <row r="24" spans="1:23" ht="12" customHeight="1">
      <c r="A24" s="19" t="s">
        <v>21</v>
      </c>
      <c r="B24" s="20" t="s">
        <v>22</v>
      </c>
      <c r="C24" s="21">
        <v>0</v>
      </c>
      <c r="D24" s="31">
        <v>1200</v>
      </c>
      <c r="E24" s="22">
        <f t="shared" si="0"/>
        <v>0</v>
      </c>
      <c r="F24" s="30">
        <v>1</v>
      </c>
      <c r="G24" s="25"/>
      <c r="H24" s="27">
        <f>E24*F24</f>
        <v>0</v>
      </c>
      <c r="J24" s="64"/>
      <c r="K24" s="68">
        <v>20</v>
      </c>
      <c r="L24" s="169"/>
      <c r="M24" s="68">
        <v>20</v>
      </c>
      <c r="N24" s="66"/>
      <c r="P24" s="27">
        <f>R24*S24</f>
        <v>0</v>
      </c>
      <c r="Q24" s="27"/>
      <c r="R24" s="93">
        <v>1</v>
      </c>
      <c r="S24" s="92">
        <f t="shared" si="1"/>
        <v>0</v>
      </c>
      <c r="T24" s="31">
        <v>400</v>
      </c>
      <c r="U24" s="92">
        <v>0</v>
      </c>
      <c r="V24" s="75" t="s">
        <v>24</v>
      </c>
      <c r="W24" s="94" t="s">
        <v>21</v>
      </c>
    </row>
    <row r="25" spans="1:23" ht="12" customHeight="1">
      <c r="A25" s="19" t="s">
        <v>21</v>
      </c>
      <c r="B25" s="20" t="s">
        <v>22</v>
      </c>
      <c r="C25" s="21">
        <v>0</v>
      </c>
      <c r="D25" s="31">
        <v>1200</v>
      </c>
      <c r="E25" s="22">
        <f t="shared" si="0"/>
        <v>0</v>
      </c>
      <c r="F25" s="30">
        <v>1</v>
      </c>
      <c r="G25" s="25"/>
      <c r="I25" s="27">
        <f>E25*F25</f>
        <v>0</v>
      </c>
      <c r="J25" s="64"/>
      <c r="K25" s="68">
        <v>20</v>
      </c>
      <c r="L25" s="169"/>
      <c r="M25" s="68">
        <v>20</v>
      </c>
      <c r="N25" s="66"/>
      <c r="O25" s="27"/>
      <c r="P25" s="27"/>
      <c r="Q25" s="27">
        <f>R25*S25</f>
        <v>0</v>
      </c>
      <c r="R25" s="93">
        <v>1</v>
      </c>
      <c r="S25" s="92">
        <f t="shared" si="1"/>
        <v>0</v>
      </c>
      <c r="T25" s="31">
        <v>400</v>
      </c>
      <c r="U25" s="92">
        <v>0</v>
      </c>
      <c r="V25" s="75" t="s">
        <v>24</v>
      </c>
      <c r="W25" s="94" t="s">
        <v>21</v>
      </c>
    </row>
    <row r="26" spans="1:23" ht="12" customHeight="1">
      <c r="A26" s="165" t="s">
        <v>25</v>
      </c>
      <c r="B26" s="146"/>
      <c r="C26" s="32"/>
      <c r="D26" s="32"/>
      <c r="E26" s="33">
        <f>SUM(E8:E25)</f>
        <v>11700</v>
      </c>
      <c r="F26" s="32"/>
      <c r="G26" s="34">
        <f t="shared" ref="G26:I26" si="2">SUM(G8:G25)</f>
        <v>1440</v>
      </c>
      <c r="H26" s="27">
        <f t="shared" si="2"/>
        <v>2160</v>
      </c>
      <c r="I26" s="27">
        <f t="shared" si="2"/>
        <v>1665</v>
      </c>
      <c r="J26" s="32"/>
      <c r="K26" s="69"/>
      <c r="L26" s="170"/>
      <c r="M26" s="69"/>
      <c r="N26" s="70"/>
      <c r="O26" s="25">
        <f t="shared" ref="O26:Q26" si="3">SUM(O8:O25)</f>
        <v>1665</v>
      </c>
      <c r="P26" s="34">
        <f t="shared" si="3"/>
        <v>945</v>
      </c>
      <c r="Q26" s="25">
        <f t="shared" si="3"/>
        <v>1485</v>
      </c>
      <c r="R26" s="27"/>
      <c r="S26" s="95">
        <f>SUM(S8:S25)</f>
        <v>9100</v>
      </c>
      <c r="T26" s="95"/>
      <c r="U26" s="34"/>
      <c r="V26" s="69"/>
      <c r="W26" s="96"/>
    </row>
    <row r="27" spans="1:23" ht="12" customHeight="1">
      <c r="A27" s="35" t="s">
        <v>26</v>
      </c>
      <c r="B27" s="32"/>
      <c r="C27" s="32"/>
      <c r="D27" s="32"/>
      <c r="E27" s="32"/>
      <c r="F27" s="32"/>
      <c r="G27" s="36"/>
      <c r="H27" s="37"/>
      <c r="I27" s="37"/>
      <c r="J27" s="32"/>
      <c r="K27" s="71"/>
      <c r="L27" s="71"/>
      <c r="M27" s="71" t="s">
        <v>206</v>
      </c>
      <c r="N27" s="70"/>
      <c r="O27" s="71"/>
      <c r="P27" s="71"/>
      <c r="Q27" s="71"/>
      <c r="R27" s="37"/>
      <c r="S27" s="71"/>
      <c r="T27" s="71"/>
      <c r="U27" s="37"/>
      <c r="V27" s="71"/>
      <c r="W27" s="96"/>
    </row>
    <row r="28" spans="1:23" ht="12" customHeight="1" thickBot="1">
      <c r="A28" s="166"/>
      <c r="B28" s="167"/>
      <c r="C28" s="38"/>
      <c r="D28" s="38"/>
      <c r="E28" s="38"/>
      <c r="F28" s="38"/>
      <c r="G28" s="39"/>
      <c r="H28" s="40"/>
      <c r="I28" s="37"/>
      <c r="J28" s="38"/>
      <c r="K28" s="72"/>
      <c r="L28" s="72"/>
      <c r="M28" s="72"/>
      <c r="N28" s="73"/>
      <c r="O28" s="72"/>
      <c r="P28" s="72"/>
      <c r="Q28" s="72"/>
      <c r="R28" s="72"/>
      <c r="S28" s="72"/>
      <c r="T28" s="72"/>
      <c r="U28" s="40"/>
      <c r="V28" s="72"/>
      <c r="W28" s="97"/>
    </row>
    <row r="29" spans="1:23" ht="12" customHeight="1" thickTop="1">
      <c r="A29" s="41"/>
      <c r="B29" s="42"/>
      <c r="C29" s="42"/>
      <c r="D29" s="42"/>
      <c r="E29" s="42"/>
      <c r="F29" s="42"/>
      <c r="G29" s="10"/>
      <c r="J29" s="42"/>
      <c r="N29" s="54"/>
      <c r="O29" s="74"/>
      <c r="P29" s="74"/>
      <c r="Q29" s="74"/>
      <c r="V29" s="151"/>
      <c r="W29" s="152"/>
    </row>
    <row r="30" spans="1:23" ht="12" customHeight="1">
      <c r="A30" s="43" t="s">
        <v>27</v>
      </c>
      <c r="B30" s="44"/>
      <c r="C30" s="44"/>
      <c r="D30" s="44"/>
      <c r="E30" s="44"/>
      <c r="F30" s="44"/>
      <c r="G30" s="45"/>
      <c r="H30" s="44"/>
      <c r="I30" s="153" t="s">
        <v>16</v>
      </c>
      <c r="J30" s="140"/>
      <c r="K30" s="153" t="s">
        <v>17</v>
      </c>
      <c r="L30" s="140"/>
      <c r="M30" s="153" t="s">
        <v>18</v>
      </c>
      <c r="N30" s="138"/>
      <c r="O30" s="140"/>
      <c r="P30" s="75"/>
      <c r="Q30" s="20"/>
      <c r="R30" s="20"/>
      <c r="S30" s="98" t="s">
        <v>28</v>
      </c>
      <c r="T30" s="98"/>
      <c r="U30" s="98"/>
      <c r="V30" s="20"/>
      <c r="W30" s="99"/>
    </row>
    <row r="31" spans="1:23" ht="12" customHeight="1">
      <c r="A31" s="46" t="s">
        <v>201</v>
      </c>
      <c r="G31" s="47" t="s">
        <v>29</v>
      </c>
      <c r="H31" s="48"/>
      <c r="I31" s="154">
        <f>G26+O26</f>
        <v>3105</v>
      </c>
      <c r="J31" s="146"/>
      <c r="K31" s="155">
        <f>H26+P26</f>
        <v>3105</v>
      </c>
      <c r="L31" s="146"/>
      <c r="M31" s="154">
        <f>I26+Q26</f>
        <v>3150</v>
      </c>
      <c r="N31" s="150"/>
      <c r="O31" s="146"/>
      <c r="P31" s="149"/>
      <c r="Q31" s="146"/>
      <c r="R31" s="20"/>
      <c r="S31" s="156" t="s">
        <v>30</v>
      </c>
      <c r="T31" s="157"/>
      <c r="U31" s="157"/>
      <c r="V31" s="157"/>
      <c r="W31" s="158"/>
    </row>
    <row r="32" spans="1:23" ht="12" customHeight="1">
      <c r="A32" s="6"/>
      <c r="G32" s="145" t="s">
        <v>31</v>
      </c>
      <c r="H32" s="146"/>
      <c r="I32" s="76"/>
      <c r="J32" s="77"/>
      <c r="K32" s="78"/>
      <c r="L32" s="77"/>
      <c r="M32" s="78"/>
      <c r="N32" s="2"/>
      <c r="O32" s="77"/>
      <c r="P32" s="147">
        <v>500</v>
      </c>
      <c r="Q32" s="146"/>
      <c r="R32" s="20"/>
      <c r="S32" s="100"/>
      <c r="T32" s="100"/>
      <c r="U32" s="100"/>
      <c r="V32" s="101"/>
      <c r="W32" s="96"/>
    </row>
    <row r="33" spans="1:23" ht="12" customHeight="1">
      <c r="A33" s="49" t="s">
        <v>32</v>
      </c>
      <c r="G33" s="47" t="s">
        <v>33</v>
      </c>
      <c r="H33" s="48"/>
      <c r="I33" s="79"/>
      <c r="J33" s="20"/>
      <c r="K33" s="75"/>
      <c r="L33" s="20"/>
      <c r="M33" s="75"/>
      <c r="N33" s="80"/>
      <c r="O33" s="20"/>
      <c r="P33" s="148">
        <f>I31+K31+M31+P32</f>
        <v>9860</v>
      </c>
      <c r="Q33" s="146"/>
      <c r="R33" s="20" t="s">
        <v>34</v>
      </c>
      <c r="S33" s="20"/>
      <c r="T33" s="20"/>
      <c r="U33" s="20"/>
      <c r="V33" s="101"/>
      <c r="W33" s="96"/>
    </row>
    <row r="34" spans="1:23" ht="12" customHeight="1">
      <c r="A34" s="6" t="s">
        <v>205</v>
      </c>
      <c r="G34" s="47" t="s">
        <v>35</v>
      </c>
      <c r="H34" s="48"/>
      <c r="I34" s="149"/>
      <c r="J34" s="146"/>
      <c r="K34" s="149"/>
      <c r="L34" s="146"/>
      <c r="M34" s="149"/>
      <c r="N34" s="150"/>
      <c r="O34" s="146"/>
      <c r="P34" s="147">
        <v>0.8</v>
      </c>
      <c r="Q34" s="146"/>
      <c r="R34" s="20" t="s">
        <v>36</v>
      </c>
      <c r="S34" s="20"/>
      <c r="T34" s="20"/>
      <c r="U34" s="20"/>
      <c r="V34" s="101"/>
      <c r="W34" s="96"/>
    </row>
    <row r="35" spans="1:23" ht="12" customHeight="1">
      <c r="A35" s="6"/>
      <c r="G35" s="137" t="s">
        <v>37</v>
      </c>
      <c r="H35" s="138"/>
      <c r="I35" s="138"/>
      <c r="J35" s="81"/>
      <c r="K35" s="82"/>
      <c r="L35" s="81"/>
      <c r="M35" s="82"/>
      <c r="N35" s="83"/>
      <c r="O35" s="81"/>
      <c r="P35" s="139">
        <f>P33/P34</f>
        <v>12325</v>
      </c>
      <c r="Q35" s="140"/>
      <c r="R35" s="81" t="s">
        <v>38</v>
      </c>
      <c r="S35" s="81"/>
      <c r="T35" s="81"/>
      <c r="U35" s="81"/>
      <c r="V35" s="102"/>
      <c r="W35" s="103"/>
    </row>
    <row r="36" spans="1:23" ht="12" customHeight="1" thickBot="1">
      <c r="A36" s="50"/>
      <c r="B36" s="51"/>
      <c r="C36" s="51"/>
      <c r="D36" s="51"/>
      <c r="E36" s="51"/>
      <c r="F36" s="51"/>
      <c r="G36" s="52" t="s">
        <v>39</v>
      </c>
      <c r="H36" s="53"/>
      <c r="I36" s="141"/>
      <c r="J36" s="142"/>
      <c r="K36" s="141"/>
      <c r="L36" s="142"/>
      <c r="M36" s="141"/>
      <c r="N36" s="143"/>
      <c r="O36" s="142"/>
      <c r="P36" s="144">
        <f>ROUNDUP(P33/575,1)</f>
        <v>17.200000000000003</v>
      </c>
      <c r="Q36" s="142"/>
      <c r="R36" s="104" t="s">
        <v>40</v>
      </c>
      <c r="S36" s="104"/>
      <c r="T36" s="104"/>
      <c r="U36" s="104"/>
      <c r="V36" s="105"/>
      <c r="W36" s="106"/>
    </row>
    <row r="37" spans="1:23" ht="12" customHeight="1">
      <c r="A37" s="9"/>
      <c r="G37" s="10"/>
      <c r="J37" s="42"/>
      <c r="N37" s="54"/>
      <c r="R37" s="29"/>
      <c r="W37" s="87"/>
    </row>
    <row r="38" spans="1:23" ht="12" customHeight="1" thickBot="1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07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 ht="12" customHeight="1">
      <c r="G49" s="10"/>
      <c r="J49" s="42"/>
      <c r="N49" s="54"/>
      <c r="R49" s="29"/>
    </row>
    <row r="50" spans="7:18" ht="12" customHeight="1">
      <c r="G50" s="10"/>
      <c r="J50" s="42"/>
      <c r="N50" s="54"/>
      <c r="R50" s="29"/>
    </row>
    <row r="51" spans="7:18" ht="12" customHeight="1">
      <c r="G51" s="10"/>
      <c r="J51" s="42"/>
      <c r="N51" s="54"/>
      <c r="R51" s="29"/>
    </row>
    <row r="52" spans="7:18" ht="12" customHeight="1">
      <c r="G52" s="10"/>
      <c r="J52" s="42"/>
      <c r="N52" s="54"/>
      <c r="R52" s="29"/>
    </row>
    <row r="53" spans="7:18" ht="12" customHeight="1">
      <c r="G53" s="10"/>
      <c r="J53" s="42"/>
      <c r="N53" s="54"/>
      <c r="R53" s="29"/>
    </row>
    <row r="54" spans="7:18" ht="12" customHeight="1">
      <c r="G54" s="10"/>
      <c r="J54" s="42"/>
      <c r="N54" s="54"/>
      <c r="R54" s="29"/>
    </row>
    <row r="55" spans="7:18" ht="12" customHeight="1">
      <c r="G55" s="10"/>
      <c r="J55" s="42"/>
      <c r="N55" s="54"/>
      <c r="R55" s="29"/>
    </row>
    <row r="56" spans="7:18" ht="12" customHeight="1">
      <c r="G56" s="10"/>
      <c r="J56" s="42"/>
      <c r="N56" s="54"/>
      <c r="R56" s="29"/>
    </row>
    <row r="57" spans="7:18" ht="12" customHeight="1">
      <c r="G57" s="10"/>
      <c r="J57" s="42"/>
      <c r="N57" s="54"/>
      <c r="R57" s="29"/>
    </row>
    <row r="58" spans="7:18" ht="12" customHeight="1">
      <c r="G58" s="10"/>
      <c r="J58" s="42"/>
      <c r="N58" s="54"/>
      <c r="R58" s="29"/>
    </row>
    <row r="59" spans="7:18" ht="12" customHeight="1">
      <c r="G59" s="10"/>
      <c r="J59" s="42"/>
      <c r="N59" s="54"/>
      <c r="R59" s="29"/>
    </row>
    <row r="60" spans="7:18" ht="12" customHeight="1">
      <c r="G60" s="10"/>
      <c r="J60" s="42"/>
      <c r="N60" s="54"/>
      <c r="R60" s="29"/>
    </row>
    <row r="61" spans="7:18" ht="12" customHeight="1">
      <c r="G61" s="10"/>
      <c r="J61" s="42"/>
      <c r="N61" s="54"/>
      <c r="R61" s="29"/>
    </row>
    <row r="62" spans="7:18" ht="12" customHeight="1">
      <c r="G62" s="10"/>
      <c r="J62" s="42"/>
      <c r="N62" s="54"/>
      <c r="R62" s="29"/>
    </row>
    <row r="63" spans="7:18" ht="12" customHeight="1">
      <c r="G63" s="10"/>
      <c r="J63" s="42"/>
      <c r="N63" s="54"/>
      <c r="R63" s="29"/>
    </row>
    <row r="64" spans="7:18" ht="12" customHeight="1">
      <c r="G64" s="10"/>
      <c r="J64" s="42"/>
      <c r="N64" s="54"/>
      <c r="R64" s="29"/>
    </row>
    <row r="65" spans="7:18" ht="12" customHeight="1">
      <c r="G65" s="10"/>
      <c r="J65" s="42"/>
      <c r="N65" s="54"/>
      <c r="R65" s="29"/>
    </row>
    <row r="66" spans="7:18" ht="12" customHeight="1">
      <c r="G66" s="10"/>
      <c r="J66" s="42"/>
      <c r="N66" s="54"/>
      <c r="R66" s="29"/>
    </row>
    <row r="67" spans="7:18" ht="12" customHeight="1">
      <c r="G67" s="10"/>
      <c r="J67" s="42"/>
      <c r="N67" s="54"/>
      <c r="R67" s="29"/>
    </row>
    <row r="68" spans="7:18" ht="12" customHeight="1">
      <c r="G68" s="10"/>
      <c r="J68" s="42"/>
      <c r="N68" s="54"/>
      <c r="R68" s="29"/>
    </row>
    <row r="69" spans="7:18" ht="12" customHeight="1">
      <c r="G69" s="10"/>
      <c r="J69" s="42"/>
      <c r="N69" s="54"/>
      <c r="R69" s="29"/>
    </row>
    <row r="70" spans="7:18" ht="12" customHeight="1">
      <c r="G70" s="10"/>
      <c r="J70" s="42"/>
      <c r="N70" s="54"/>
      <c r="R70" s="29"/>
    </row>
    <row r="71" spans="7:18" ht="12" customHeight="1">
      <c r="G71" s="10"/>
      <c r="J71" s="42"/>
      <c r="N71" s="54"/>
      <c r="R71" s="29"/>
    </row>
    <row r="72" spans="7:18" ht="12" customHeight="1">
      <c r="G72" s="10"/>
      <c r="J72" s="42"/>
      <c r="N72" s="54"/>
      <c r="R72" s="29"/>
    </row>
    <row r="73" spans="7:18" ht="12" customHeight="1">
      <c r="G73" s="10"/>
      <c r="J73" s="42"/>
      <c r="N73" s="54"/>
      <c r="R73" s="29"/>
    </row>
    <row r="74" spans="7:18" ht="12" customHeight="1">
      <c r="G74" s="10"/>
      <c r="J74" s="42"/>
      <c r="N74" s="54"/>
      <c r="R74" s="29"/>
    </row>
    <row r="75" spans="7:18" ht="12" customHeight="1">
      <c r="G75" s="10"/>
      <c r="J75" s="42"/>
      <c r="N75" s="54"/>
      <c r="R75" s="29"/>
    </row>
    <row r="76" spans="7:18" ht="12" customHeight="1">
      <c r="G76" s="10"/>
      <c r="J76" s="42"/>
      <c r="N76" s="54"/>
      <c r="R76" s="29"/>
    </row>
    <row r="77" spans="7:18" ht="12" customHeight="1">
      <c r="G77" s="10"/>
      <c r="J77" s="42"/>
      <c r="N77" s="54"/>
      <c r="R77" s="29"/>
    </row>
    <row r="78" spans="7:18" ht="12" customHeight="1">
      <c r="G78" s="10"/>
      <c r="J78" s="42"/>
      <c r="N78" s="54"/>
      <c r="R78" s="29"/>
    </row>
    <row r="79" spans="7:18" ht="12" customHeight="1">
      <c r="G79" s="10"/>
      <c r="J79" s="42"/>
      <c r="N79" s="54"/>
      <c r="R79" s="29"/>
    </row>
    <row r="80" spans="7:18" ht="12" customHeight="1">
      <c r="G80" s="10"/>
      <c r="J80" s="42"/>
      <c r="N80" s="54"/>
      <c r="R80" s="29"/>
    </row>
    <row r="81" spans="7:18" ht="12" customHeight="1">
      <c r="G81" s="10"/>
      <c r="J81" s="42"/>
      <c r="N81" s="54"/>
      <c r="R81" s="29"/>
    </row>
    <row r="82" spans="7:18" ht="12" customHeight="1">
      <c r="G82" s="10"/>
      <c r="J82" s="42"/>
      <c r="N82" s="54"/>
      <c r="R82" s="29"/>
    </row>
    <row r="83" spans="7:18" ht="12" customHeight="1">
      <c r="G83" s="10"/>
      <c r="J83" s="42"/>
      <c r="N83" s="54"/>
      <c r="R83" s="29"/>
    </row>
    <row r="84" spans="7:18" ht="12" customHeight="1">
      <c r="G84" s="10"/>
      <c r="J84" s="42"/>
      <c r="N84" s="54"/>
      <c r="R84" s="29"/>
    </row>
    <row r="85" spans="7:18" ht="12" customHeight="1">
      <c r="G85" s="10"/>
      <c r="J85" s="42"/>
      <c r="N85" s="54"/>
      <c r="R85" s="29"/>
    </row>
    <row r="86" spans="7:18" ht="12" customHeight="1">
      <c r="G86" s="10"/>
      <c r="J86" s="42"/>
      <c r="N86" s="54"/>
      <c r="R86" s="29"/>
    </row>
    <row r="87" spans="7:18" ht="12" customHeight="1">
      <c r="G87" s="10"/>
      <c r="J87" s="42"/>
      <c r="N87" s="54"/>
      <c r="R87" s="29"/>
    </row>
    <row r="88" spans="7:18" ht="12" customHeight="1">
      <c r="G88" s="10"/>
      <c r="J88" s="42"/>
      <c r="N88" s="54"/>
      <c r="R88" s="29"/>
    </row>
    <row r="89" spans="7:18" ht="12" customHeight="1">
      <c r="G89" s="10"/>
      <c r="J89" s="42"/>
      <c r="N89" s="54"/>
      <c r="R89" s="29"/>
    </row>
    <row r="90" spans="7:18" ht="12" customHeight="1">
      <c r="G90" s="10"/>
      <c r="J90" s="42"/>
      <c r="N90" s="54"/>
      <c r="R90" s="29"/>
    </row>
    <row r="91" spans="7:18" ht="12" customHeight="1">
      <c r="G91" s="10"/>
      <c r="J91" s="42"/>
      <c r="N91" s="54"/>
      <c r="R91" s="29"/>
    </row>
    <row r="92" spans="7:18" ht="12" customHeight="1">
      <c r="G92" s="10"/>
      <c r="J92" s="42"/>
      <c r="N92" s="54"/>
      <c r="R92" s="29"/>
    </row>
    <row r="93" spans="7:18" ht="12" customHeight="1">
      <c r="G93" s="10"/>
      <c r="J93" s="42"/>
      <c r="N93" s="54"/>
      <c r="R93" s="29"/>
    </row>
    <row r="94" spans="7:18" ht="12" customHeight="1">
      <c r="G94" s="10"/>
      <c r="J94" s="42"/>
      <c r="N94" s="54"/>
      <c r="R94" s="29"/>
    </row>
    <row r="95" spans="7:18" ht="12" customHeight="1">
      <c r="G95" s="10"/>
      <c r="J95" s="42"/>
      <c r="N95" s="54"/>
      <c r="R95" s="29"/>
    </row>
    <row r="96" spans="7:18" ht="12" customHeight="1">
      <c r="G96" s="10"/>
      <c r="J96" s="42"/>
      <c r="N96" s="54"/>
      <c r="R96" s="29"/>
    </row>
    <row r="97" spans="7:18" ht="12" customHeight="1">
      <c r="G97" s="10"/>
      <c r="J97" s="42"/>
      <c r="N97" s="54"/>
      <c r="R97" s="29"/>
    </row>
    <row r="98" spans="7:18" ht="12" customHeight="1">
      <c r="G98" s="10"/>
      <c r="J98" s="42"/>
      <c r="N98" s="54"/>
      <c r="R98" s="29"/>
    </row>
    <row r="99" spans="7:18" ht="12" customHeight="1">
      <c r="G99" s="10"/>
      <c r="J99" s="42"/>
      <c r="N99" s="54"/>
      <c r="R99" s="29"/>
    </row>
    <row r="100" spans="7:18" ht="12" customHeight="1">
      <c r="G100" s="10"/>
      <c r="J100" s="42"/>
      <c r="N100" s="54"/>
      <c r="R100" s="29"/>
    </row>
  </sheetData>
  <mergeCells count="33">
    <mergeCell ref="M31:O31"/>
    <mergeCell ref="P31:Q31"/>
    <mergeCell ref="I31:J31"/>
    <mergeCell ref="K31:L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G32:H32"/>
    <mergeCell ref="P32:Q32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L8:L26"/>
    <mergeCell ref="A26:B26"/>
    <mergeCell ref="A28:B28"/>
  </mergeCells>
  <phoneticPr fontId="14" type="noConversion"/>
  <pageMargins left="0.74803149606299202" right="0.74803149606299202" top="0.98425196850393704" bottom="0.98425196850393704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196E-C3CC-4BC3-B010-16B81C051FA7}">
  <sheetPr>
    <pageSetUpPr fitToPage="1"/>
  </sheetPr>
  <dimension ref="A1:W100"/>
  <sheetViews>
    <sheetView zoomScaleNormal="100" workbookViewId="0">
      <selection activeCell="D19" sqref="D19"/>
    </sheetView>
  </sheetViews>
  <sheetFormatPr defaultColWidth="16.6640625" defaultRowHeight="15" customHeight="1"/>
  <cols>
    <col min="1" max="1" width="27.109375" customWidth="1"/>
    <col min="2" max="2" width="7.6640625" customWidth="1"/>
    <col min="3" max="3" width="5.6640625" customWidth="1"/>
    <col min="4" max="4" width="6.33203125" customWidth="1"/>
    <col min="5" max="9" width="7.6640625" customWidth="1"/>
    <col min="10" max="10" width="2.44140625" customWidth="1"/>
    <col min="11" max="11" width="3.6640625" customWidth="1"/>
    <col min="12" max="12" width="7.109375" customWidth="1"/>
    <col min="13" max="13" width="3.6640625" customWidth="1"/>
    <col min="14" max="14" width="2.44140625" customWidth="1"/>
    <col min="15" max="19" width="7.6640625" customWidth="1"/>
    <col min="20" max="21" width="5.6640625" customWidth="1"/>
    <col min="22" max="22" width="7.6640625" customWidth="1"/>
    <col min="23" max="23" width="25.44140625" customWidth="1"/>
    <col min="24" max="24" width="8.6640625" customWidth="1"/>
  </cols>
  <sheetData>
    <row r="1" spans="1:23" ht="12" customHeight="1">
      <c r="A1" s="177" t="s">
        <v>175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3"/>
    </row>
    <row r="2" spans="1:23" ht="12" customHeight="1">
      <c r="A2" s="110" t="s">
        <v>0</v>
      </c>
      <c r="B2" s="176" t="s">
        <v>128</v>
      </c>
      <c r="C2" s="150"/>
      <c r="D2" s="150"/>
      <c r="E2" s="3"/>
      <c r="F2" s="3"/>
      <c r="G2" s="4"/>
      <c r="H2" s="5"/>
      <c r="I2" s="5"/>
      <c r="J2" s="42"/>
      <c r="K2" s="5"/>
      <c r="L2" s="5"/>
      <c r="M2" s="5"/>
      <c r="N2" s="54"/>
      <c r="O2" s="5"/>
      <c r="P2" s="55" t="s">
        <v>1</v>
      </c>
      <c r="Q2" s="113" t="s">
        <v>208</v>
      </c>
      <c r="R2" s="3"/>
      <c r="S2" s="3"/>
      <c r="T2" s="3"/>
      <c r="U2" s="3"/>
      <c r="V2" s="84"/>
      <c r="W2" s="85"/>
    </row>
    <row r="3" spans="1:23" ht="12" customHeight="1">
      <c r="A3" s="109" t="s">
        <v>2</v>
      </c>
      <c r="B3" s="174" t="s">
        <v>3</v>
      </c>
      <c r="C3" s="150"/>
      <c r="D3" s="150"/>
      <c r="E3" s="3"/>
      <c r="F3" s="3"/>
      <c r="G3" s="4"/>
      <c r="H3" s="3"/>
      <c r="I3" s="3"/>
      <c r="J3" s="56"/>
      <c r="K3" s="3"/>
      <c r="L3" s="3"/>
      <c r="M3" s="3"/>
      <c r="N3" s="57"/>
      <c r="O3" s="3"/>
      <c r="P3" s="55" t="s">
        <v>4</v>
      </c>
      <c r="Q3" s="113" t="s">
        <v>75</v>
      </c>
      <c r="R3" s="3"/>
      <c r="S3" s="3"/>
      <c r="T3" s="3"/>
      <c r="U3" s="3"/>
      <c r="V3" s="3"/>
      <c r="W3" s="86"/>
    </row>
    <row r="4" spans="1:23" ht="12" customHeight="1">
      <c r="A4" s="6" t="s">
        <v>5</v>
      </c>
      <c r="B4" s="175"/>
      <c r="C4" s="138"/>
      <c r="D4" s="138"/>
      <c r="E4" s="7"/>
      <c r="F4" s="5"/>
      <c r="G4" s="8"/>
      <c r="H4" s="5"/>
      <c r="I4" s="5"/>
      <c r="J4" s="42"/>
      <c r="K4" s="5"/>
      <c r="L4" s="5"/>
      <c r="M4" s="5"/>
      <c r="N4" s="54"/>
      <c r="O4" s="5"/>
      <c r="P4" s="5" t="s">
        <v>6</v>
      </c>
      <c r="Q4" s="175" t="s">
        <v>7</v>
      </c>
      <c r="R4" s="138"/>
      <c r="S4" s="5"/>
      <c r="T4" s="5"/>
      <c r="U4" s="5"/>
      <c r="V4" s="5"/>
      <c r="W4" s="85"/>
    </row>
    <row r="5" spans="1:23" ht="12" customHeight="1">
      <c r="A5" s="9"/>
      <c r="G5" s="10"/>
      <c r="J5" s="42"/>
      <c r="N5" s="54"/>
      <c r="W5" s="87"/>
    </row>
    <row r="6" spans="1:23" ht="34.5" customHeight="1" thickBot="1">
      <c r="A6" s="11" t="s">
        <v>8</v>
      </c>
      <c r="B6" s="12" t="s">
        <v>9</v>
      </c>
      <c r="C6" s="12" t="s">
        <v>10</v>
      </c>
      <c r="D6" s="13" t="s">
        <v>11</v>
      </c>
      <c r="E6" s="13" t="s">
        <v>12</v>
      </c>
      <c r="F6" s="13" t="s">
        <v>13</v>
      </c>
      <c r="G6" s="159" t="s">
        <v>14</v>
      </c>
      <c r="H6" s="160"/>
      <c r="I6" s="161"/>
      <c r="J6" s="162" t="s">
        <v>15</v>
      </c>
      <c r="K6" s="163"/>
      <c r="L6" s="163"/>
      <c r="M6" s="163"/>
      <c r="N6" s="164"/>
      <c r="O6" s="159" t="s">
        <v>14</v>
      </c>
      <c r="P6" s="160"/>
      <c r="Q6" s="161"/>
      <c r="R6" s="13" t="s">
        <v>13</v>
      </c>
      <c r="S6" s="13" t="s">
        <v>12</v>
      </c>
      <c r="T6" s="13" t="s">
        <v>11</v>
      </c>
      <c r="U6" s="12" t="s">
        <v>10</v>
      </c>
      <c r="V6" s="12" t="s">
        <v>9</v>
      </c>
      <c r="W6" s="88" t="s">
        <v>8</v>
      </c>
    </row>
    <row r="7" spans="1:23" ht="12" customHeight="1" thickTop="1">
      <c r="A7" s="14"/>
      <c r="B7" s="15"/>
      <c r="C7" s="16"/>
      <c r="D7" s="16"/>
      <c r="E7" s="16"/>
      <c r="F7" s="16"/>
      <c r="G7" s="17" t="s">
        <v>16</v>
      </c>
      <c r="H7" s="18" t="s">
        <v>17</v>
      </c>
      <c r="I7" s="18" t="s">
        <v>18</v>
      </c>
      <c r="J7" s="58"/>
      <c r="K7" s="59"/>
      <c r="L7" s="60"/>
      <c r="M7" s="60"/>
      <c r="N7" s="61"/>
      <c r="O7" s="62" t="s">
        <v>16</v>
      </c>
      <c r="P7" s="18" t="s">
        <v>17</v>
      </c>
      <c r="Q7" s="89" t="s">
        <v>18</v>
      </c>
      <c r="R7" s="90"/>
      <c r="S7" s="90"/>
      <c r="T7" s="90"/>
      <c r="U7" s="90"/>
      <c r="V7" s="15"/>
      <c r="W7" s="91"/>
    </row>
    <row r="8" spans="1:23" ht="12" customHeight="1">
      <c r="A8" s="112" t="s">
        <v>21</v>
      </c>
      <c r="B8" s="27" t="s">
        <v>20</v>
      </c>
      <c r="C8" s="21">
        <v>0</v>
      </c>
      <c r="D8" s="28">
        <v>250</v>
      </c>
      <c r="E8" s="22">
        <f t="shared" ref="E8:E25" si="0">C8*D8</f>
        <v>0</v>
      </c>
      <c r="F8" s="23">
        <v>0.5</v>
      </c>
      <c r="G8" s="24">
        <f>E8*F8</f>
        <v>0</v>
      </c>
      <c r="H8" s="21"/>
      <c r="I8" s="63"/>
      <c r="J8" s="64">
        <v>1</v>
      </c>
      <c r="K8" s="65">
        <v>30</v>
      </c>
      <c r="L8" s="168"/>
      <c r="M8" s="65">
        <v>30</v>
      </c>
      <c r="N8" s="66">
        <v>7</v>
      </c>
      <c r="O8" s="24">
        <f>S8*R8</f>
        <v>1000</v>
      </c>
      <c r="Q8" s="24"/>
      <c r="R8" s="23">
        <v>0.5</v>
      </c>
      <c r="S8" s="92">
        <f t="shared" ref="S8:S25" si="1">T8*U8</f>
        <v>2000</v>
      </c>
      <c r="T8" s="28">
        <v>250</v>
      </c>
      <c r="U8" s="92">
        <v>8</v>
      </c>
      <c r="V8" s="27" t="s">
        <v>20</v>
      </c>
      <c r="W8" s="115" t="s">
        <v>77</v>
      </c>
    </row>
    <row r="9" spans="1:23" ht="12" customHeight="1">
      <c r="A9" s="112" t="s">
        <v>176</v>
      </c>
      <c r="B9" s="27" t="s">
        <v>20</v>
      </c>
      <c r="C9" s="21">
        <v>11</v>
      </c>
      <c r="D9" s="28">
        <v>250</v>
      </c>
      <c r="E9" s="22">
        <f t="shared" si="0"/>
        <v>2750</v>
      </c>
      <c r="F9" s="23">
        <v>0.5</v>
      </c>
      <c r="G9" s="25"/>
      <c r="H9" s="25">
        <f>E9*F9</f>
        <v>1375</v>
      </c>
      <c r="J9" s="64">
        <v>2</v>
      </c>
      <c r="K9" s="65">
        <v>30</v>
      </c>
      <c r="L9" s="169"/>
      <c r="M9" s="65">
        <v>30</v>
      </c>
      <c r="N9" s="66">
        <v>8</v>
      </c>
      <c r="P9" s="25">
        <f>S9*R9</f>
        <v>1250</v>
      </c>
      <c r="Q9" s="25"/>
      <c r="R9" s="23">
        <v>0.5</v>
      </c>
      <c r="S9" s="92">
        <f t="shared" si="1"/>
        <v>2500</v>
      </c>
      <c r="T9" s="28">
        <v>250</v>
      </c>
      <c r="U9" s="92">
        <v>10</v>
      </c>
      <c r="V9" s="27" t="s">
        <v>20</v>
      </c>
      <c r="W9" s="115" t="s">
        <v>180</v>
      </c>
    </row>
    <row r="10" spans="1:23" ht="12" customHeight="1">
      <c r="A10" s="112" t="s">
        <v>179</v>
      </c>
      <c r="B10" s="27" t="s">
        <v>20</v>
      </c>
      <c r="C10" s="21">
        <v>4</v>
      </c>
      <c r="D10" s="28">
        <v>250</v>
      </c>
      <c r="E10" s="22">
        <f t="shared" si="0"/>
        <v>1000</v>
      </c>
      <c r="F10" s="23">
        <v>0.5</v>
      </c>
      <c r="G10" s="25"/>
      <c r="I10" s="25">
        <f>E10*F10</f>
        <v>500</v>
      </c>
      <c r="J10" s="64">
        <v>3</v>
      </c>
      <c r="K10" s="65">
        <v>30</v>
      </c>
      <c r="L10" s="169"/>
      <c r="M10" s="65">
        <v>30</v>
      </c>
      <c r="N10" s="66">
        <v>9</v>
      </c>
      <c r="O10" s="27"/>
      <c r="P10" s="25"/>
      <c r="Q10" s="25">
        <f>S10*R10</f>
        <v>1000</v>
      </c>
      <c r="R10" s="23">
        <v>0.5</v>
      </c>
      <c r="S10" s="92">
        <f t="shared" si="1"/>
        <v>2000</v>
      </c>
      <c r="T10" s="28">
        <v>250</v>
      </c>
      <c r="U10" s="92">
        <v>8</v>
      </c>
      <c r="V10" s="27" t="s">
        <v>20</v>
      </c>
      <c r="W10" s="115" t="s">
        <v>181</v>
      </c>
    </row>
    <row r="11" spans="1:23" ht="12" customHeight="1">
      <c r="A11" s="112" t="s">
        <v>178</v>
      </c>
      <c r="B11" s="27" t="s">
        <v>20</v>
      </c>
      <c r="C11" s="21">
        <v>9</v>
      </c>
      <c r="D11" s="28">
        <v>250</v>
      </c>
      <c r="E11" s="22">
        <f t="shared" si="0"/>
        <v>2250</v>
      </c>
      <c r="F11" s="23">
        <v>0.5</v>
      </c>
      <c r="G11" s="25">
        <f>E11*F11</f>
        <v>1125</v>
      </c>
      <c r="H11" s="25"/>
      <c r="I11" s="25"/>
      <c r="J11" s="64">
        <v>4</v>
      </c>
      <c r="K11" s="65">
        <v>30</v>
      </c>
      <c r="L11" s="169"/>
      <c r="M11" s="65">
        <v>30</v>
      </c>
      <c r="N11" s="66">
        <v>10</v>
      </c>
      <c r="O11" s="27">
        <f>S11*R11</f>
        <v>500</v>
      </c>
      <c r="Q11" s="27"/>
      <c r="R11" s="23">
        <v>0.5</v>
      </c>
      <c r="S11" s="92">
        <f>T11*U11</f>
        <v>1000</v>
      </c>
      <c r="T11" s="28">
        <v>250</v>
      </c>
      <c r="U11" s="92">
        <v>4</v>
      </c>
      <c r="V11" s="27" t="s">
        <v>20</v>
      </c>
      <c r="W11" s="115" t="s">
        <v>182</v>
      </c>
    </row>
    <row r="12" spans="1:23" ht="12" customHeight="1">
      <c r="A12" s="112" t="s">
        <v>177</v>
      </c>
      <c r="B12" s="27" t="s">
        <v>20</v>
      </c>
      <c r="C12" s="21">
        <v>3</v>
      </c>
      <c r="D12" s="28">
        <v>250</v>
      </c>
      <c r="E12" s="22">
        <f t="shared" si="0"/>
        <v>750</v>
      </c>
      <c r="F12" s="23">
        <v>0.5</v>
      </c>
      <c r="G12" s="25"/>
      <c r="H12" s="27">
        <f>E12*F12</f>
        <v>375</v>
      </c>
      <c r="J12" s="64">
        <v>5</v>
      </c>
      <c r="K12" s="65">
        <v>30</v>
      </c>
      <c r="L12" s="169"/>
      <c r="M12" s="65">
        <v>30</v>
      </c>
      <c r="N12" s="66">
        <v>11</v>
      </c>
      <c r="P12" s="27">
        <f>S12*R12</f>
        <v>0</v>
      </c>
      <c r="Q12" s="27"/>
      <c r="R12" s="23">
        <v>0.5</v>
      </c>
      <c r="S12" s="92">
        <f t="shared" si="1"/>
        <v>0</v>
      </c>
      <c r="T12" s="28">
        <v>250</v>
      </c>
      <c r="U12" s="92">
        <v>0</v>
      </c>
      <c r="V12" s="27" t="s">
        <v>20</v>
      </c>
      <c r="W12" s="115" t="s">
        <v>21</v>
      </c>
    </row>
    <row r="13" spans="1:23" ht="12" customHeight="1">
      <c r="A13" s="112" t="s">
        <v>76</v>
      </c>
      <c r="B13" s="27" t="s">
        <v>20</v>
      </c>
      <c r="C13" s="21">
        <v>11</v>
      </c>
      <c r="D13" s="28">
        <v>250</v>
      </c>
      <c r="E13" s="22">
        <f t="shared" si="0"/>
        <v>2750</v>
      </c>
      <c r="F13" s="23">
        <v>0.5</v>
      </c>
      <c r="G13" s="25"/>
      <c r="I13" s="25">
        <f>E13*F13</f>
        <v>1375</v>
      </c>
      <c r="J13" s="64">
        <v>6</v>
      </c>
      <c r="K13" s="65">
        <v>30</v>
      </c>
      <c r="L13" s="169"/>
      <c r="M13" s="67">
        <v>30</v>
      </c>
      <c r="N13" s="66">
        <v>12</v>
      </c>
      <c r="O13" s="27"/>
      <c r="P13" s="27"/>
      <c r="Q13" s="27">
        <f>S13*R13</f>
        <v>0</v>
      </c>
      <c r="R13" s="23">
        <v>0.5</v>
      </c>
      <c r="S13" s="92">
        <f t="shared" si="1"/>
        <v>0</v>
      </c>
      <c r="T13" s="28">
        <v>250</v>
      </c>
      <c r="U13" s="92">
        <v>0</v>
      </c>
      <c r="V13" s="27" t="s">
        <v>20</v>
      </c>
      <c r="W13" s="115" t="s">
        <v>21</v>
      </c>
    </row>
    <row r="14" spans="1:23" ht="12" customHeight="1">
      <c r="A14" s="108" t="s">
        <v>21</v>
      </c>
      <c r="B14" s="27" t="s">
        <v>20</v>
      </c>
      <c r="C14" s="21">
        <v>0</v>
      </c>
      <c r="D14" s="28">
        <v>250</v>
      </c>
      <c r="E14" s="22">
        <f t="shared" si="0"/>
        <v>0</v>
      </c>
      <c r="F14" s="23">
        <v>0.5</v>
      </c>
      <c r="G14" s="25">
        <f>E14*F14</f>
        <v>0</v>
      </c>
      <c r="H14" s="27"/>
      <c r="I14" s="27"/>
      <c r="J14" s="64"/>
      <c r="K14" s="65">
        <v>30</v>
      </c>
      <c r="L14" s="169"/>
      <c r="M14" s="67">
        <v>30</v>
      </c>
      <c r="N14" s="66"/>
      <c r="O14" s="27">
        <f>S14*R14</f>
        <v>0</v>
      </c>
      <c r="Q14" s="27"/>
      <c r="R14" s="23">
        <v>0.5</v>
      </c>
      <c r="S14" s="92">
        <f t="shared" si="1"/>
        <v>0</v>
      </c>
      <c r="T14" s="28">
        <v>250</v>
      </c>
      <c r="U14" s="92">
        <v>0</v>
      </c>
      <c r="V14" s="27" t="s">
        <v>20</v>
      </c>
      <c r="W14" s="103" t="s">
        <v>21</v>
      </c>
    </row>
    <row r="15" spans="1:23" ht="12" customHeight="1">
      <c r="A15" s="108" t="s">
        <v>21</v>
      </c>
      <c r="B15" s="27" t="s">
        <v>20</v>
      </c>
      <c r="C15" s="21">
        <v>0</v>
      </c>
      <c r="D15" s="28">
        <v>250</v>
      </c>
      <c r="E15" s="22">
        <f t="shared" si="0"/>
        <v>0</v>
      </c>
      <c r="F15" s="23">
        <v>0.5</v>
      </c>
      <c r="G15" s="25"/>
      <c r="H15" s="27">
        <f>E15*F15</f>
        <v>0</v>
      </c>
      <c r="J15" s="64"/>
      <c r="K15" s="68">
        <v>30</v>
      </c>
      <c r="L15" s="169"/>
      <c r="M15" s="67">
        <v>30</v>
      </c>
      <c r="N15" s="66"/>
      <c r="P15" s="27">
        <f>S15*R15</f>
        <v>0</v>
      </c>
      <c r="Q15" s="27"/>
      <c r="R15" s="23">
        <v>0.5</v>
      </c>
      <c r="S15" s="92">
        <f t="shared" si="1"/>
        <v>0</v>
      </c>
      <c r="T15" s="28">
        <v>250</v>
      </c>
      <c r="U15" s="92">
        <v>0</v>
      </c>
      <c r="V15" s="27" t="s">
        <v>20</v>
      </c>
      <c r="W15" s="103" t="s">
        <v>21</v>
      </c>
    </row>
    <row r="16" spans="1:23" ht="12" customHeight="1">
      <c r="A16" s="108" t="s">
        <v>21</v>
      </c>
      <c r="B16" s="27" t="s">
        <v>20</v>
      </c>
      <c r="C16" s="21">
        <v>0</v>
      </c>
      <c r="D16" s="28">
        <v>250</v>
      </c>
      <c r="E16" s="22">
        <f t="shared" si="0"/>
        <v>0</v>
      </c>
      <c r="F16" s="23">
        <v>0.5</v>
      </c>
      <c r="G16" s="25"/>
      <c r="I16" s="25">
        <f>E16*F16</f>
        <v>0</v>
      </c>
      <c r="J16" s="64"/>
      <c r="K16" s="68">
        <v>30</v>
      </c>
      <c r="L16" s="169"/>
      <c r="M16" s="67">
        <v>30</v>
      </c>
      <c r="N16" s="66"/>
      <c r="O16" s="27"/>
      <c r="P16" s="27"/>
      <c r="Q16" s="27">
        <f>R16*S16</f>
        <v>0</v>
      </c>
      <c r="R16" s="23">
        <v>0.5</v>
      </c>
      <c r="S16" s="92">
        <f t="shared" si="1"/>
        <v>0</v>
      </c>
      <c r="T16" s="28">
        <v>250</v>
      </c>
      <c r="U16" s="92">
        <v>0</v>
      </c>
      <c r="V16" s="27" t="s">
        <v>20</v>
      </c>
      <c r="W16" s="103" t="s">
        <v>21</v>
      </c>
    </row>
    <row r="17" spans="1:23" ht="12" customHeight="1">
      <c r="A17" s="108" t="s">
        <v>21</v>
      </c>
      <c r="B17" s="27" t="s">
        <v>97</v>
      </c>
      <c r="C17" s="21">
        <v>0</v>
      </c>
      <c r="D17" s="28">
        <v>100</v>
      </c>
      <c r="E17" s="22">
        <f t="shared" si="0"/>
        <v>0</v>
      </c>
      <c r="F17" s="23">
        <v>0.45</v>
      </c>
      <c r="G17" s="27">
        <f>F17*E17</f>
        <v>0</v>
      </c>
      <c r="H17" s="29"/>
      <c r="I17" s="27"/>
      <c r="J17" s="64"/>
      <c r="K17" s="68">
        <v>10</v>
      </c>
      <c r="L17" s="169"/>
      <c r="M17" s="67">
        <v>30</v>
      </c>
      <c r="N17" s="66"/>
      <c r="O17" s="27">
        <f>S17*R17</f>
        <v>0</v>
      </c>
      <c r="Q17" s="27"/>
      <c r="R17" s="23">
        <v>0.45</v>
      </c>
      <c r="S17" s="92">
        <f t="shared" si="1"/>
        <v>0</v>
      </c>
      <c r="T17" s="28">
        <v>100</v>
      </c>
      <c r="U17" s="21">
        <v>0</v>
      </c>
      <c r="V17" s="27" t="s">
        <v>97</v>
      </c>
      <c r="W17" s="103" t="s">
        <v>21</v>
      </c>
    </row>
    <row r="18" spans="1:23" ht="12" customHeight="1">
      <c r="A18" s="19" t="s">
        <v>21</v>
      </c>
      <c r="B18" s="20" t="s">
        <v>19</v>
      </c>
      <c r="C18" s="21">
        <v>0</v>
      </c>
      <c r="D18" s="28">
        <v>100</v>
      </c>
      <c r="E18" s="22">
        <f t="shared" si="0"/>
        <v>0</v>
      </c>
      <c r="F18" s="23">
        <v>0.45</v>
      </c>
      <c r="G18" s="25"/>
      <c r="H18" s="27">
        <f>E18*F18</f>
        <v>0</v>
      </c>
      <c r="J18" s="64"/>
      <c r="K18" s="68">
        <v>10</v>
      </c>
      <c r="L18" s="169"/>
      <c r="M18" s="67">
        <v>30</v>
      </c>
      <c r="N18" s="66"/>
      <c r="P18" s="27">
        <f>R18*S18</f>
        <v>0</v>
      </c>
      <c r="Q18" s="27"/>
      <c r="R18" s="93">
        <v>0.4</v>
      </c>
      <c r="S18" s="92">
        <f t="shared" si="1"/>
        <v>0</v>
      </c>
      <c r="T18" s="22">
        <v>6000</v>
      </c>
      <c r="U18" s="21">
        <v>0</v>
      </c>
      <c r="V18" s="20" t="s">
        <v>22</v>
      </c>
      <c r="W18" s="94" t="s">
        <v>21</v>
      </c>
    </row>
    <row r="19" spans="1:23" ht="12" customHeight="1">
      <c r="A19" s="19" t="s">
        <v>21</v>
      </c>
      <c r="B19" s="27" t="s">
        <v>97</v>
      </c>
      <c r="C19" s="21">
        <v>0</v>
      </c>
      <c r="D19" s="28">
        <v>100</v>
      </c>
      <c r="E19" s="22">
        <f t="shared" si="0"/>
        <v>0</v>
      </c>
      <c r="F19" s="23">
        <v>0.45</v>
      </c>
      <c r="G19" s="25"/>
      <c r="I19" s="27">
        <f>E19*F19</f>
        <v>0</v>
      </c>
      <c r="J19" s="64"/>
      <c r="K19" s="68">
        <v>10</v>
      </c>
      <c r="L19" s="169"/>
      <c r="M19" s="68">
        <v>10</v>
      </c>
      <c r="N19" s="66"/>
      <c r="O19" s="27"/>
      <c r="P19" s="27"/>
      <c r="Q19" s="27">
        <f>R19*S19</f>
        <v>0</v>
      </c>
      <c r="R19" s="93">
        <v>0.45</v>
      </c>
      <c r="S19" s="92">
        <f t="shared" si="1"/>
        <v>0</v>
      </c>
      <c r="T19" s="22">
        <v>1000</v>
      </c>
      <c r="U19" s="92">
        <v>0</v>
      </c>
      <c r="V19" s="27" t="s">
        <v>19</v>
      </c>
      <c r="W19" s="103" t="s">
        <v>21</v>
      </c>
    </row>
    <row r="20" spans="1:23" ht="12" customHeight="1">
      <c r="A20" s="19" t="s">
        <v>21</v>
      </c>
      <c r="B20" s="20" t="s">
        <v>22</v>
      </c>
      <c r="C20" s="21">
        <v>0</v>
      </c>
      <c r="D20" s="31">
        <v>1500</v>
      </c>
      <c r="E20" s="22">
        <f t="shared" si="0"/>
        <v>0</v>
      </c>
      <c r="F20" s="30">
        <v>0.8</v>
      </c>
      <c r="G20" s="27">
        <f>E20*F20</f>
        <v>0</v>
      </c>
      <c r="H20" s="27"/>
      <c r="I20" s="27"/>
      <c r="J20" s="64"/>
      <c r="K20" s="68">
        <v>10</v>
      </c>
      <c r="L20" s="169"/>
      <c r="M20" s="68">
        <v>30</v>
      </c>
      <c r="N20" s="66"/>
      <c r="O20" s="27">
        <f>R20*S20</f>
        <v>0</v>
      </c>
      <c r="Q20" s="27"/>
      <c r="R20" s="93">
        <v>0.6</v>
      </c>
      <c r="S20" s="92">
        <f t="shared" si="1"/>
        <v>0</v>
      </c>
      <c r="T20" s="31">
        <v>3000</v>
      </c>
      <c r="U20" s="92">
        <v>0</v>
      </c>
      <c r="V20" s="27" t="s">
        <v>23</v>
      </c>
      <c r="W20" s="94" t="s">
        <v>21</v>
      </c>
    </row>
    <row r="21" spans="1:23" ht="12" customHeight="1">
      <c r="A21" s="19" t="s">
        <v>21</v>
      </c>
      <c r="B21" s="20" t="s">
        <v>22</v>
      </c>
      <c r="C21" s="21">
        <v>0</v>
      </c>
      <c r="D21" s="31">
        <v>2000</v>
      </c>
      <c r="E21" s="22">
        <f t="shared" si="0"/>
        <v>0</v>
      </c>
      <c r="F21" s="30">
        <v>0.6</v>
      </c>
      <c r="G21" s="25"/>
      <c r="H21" s="27">
        <f>E21*F21</f>
        <v>0</v>
      </c>
      <c r="J21" s="64"/>
      <c r="K21" s="68">
        <v>20</v>
      </c>
      <c r="L21" s="169"/>
      <c r="M21" s="68">
        <v>20</v>
      </c>
      <c r="N21" s="66"/>
      <c r="P21" s="27">
        <f>R21*S21</f>
        <v>0</v>
      </c>
      <c r="Q21" s="27"/>
      <c r="R21" s="93">
        <v>1</v>
      </c>
      <c r="S21" s="92">
        <f t="shared" si="1"/>
        <v>0</v>
      </c>
      <c r="T21" s="31">
        <v>400</v>
      </c>
      <c r="U21" s="92">
        <v>0</v>
      </c>
      <c r="V21" s="27" t="s">
        <v>24</v>
      </c>
      <c r="W21" s="94" t="s">
        <v>21</v>
      </c>
    </row>
    <row r="22" spans="1:23" ht="12" customHeight="1">
      <c r="A22" s="19" t="s">
        <v>21</v>
      </c>
      <c r="B22" s="20" t="s">
        <v>22</v>
      </c>
      <c r="C22" s="21">
        <v>0</v>
      </c>
      <c r="D22" s="28">
        <v>1119</v>
      </c>
      <c r="E22" s="22">
        <f t="shared" si="0"/>
        <v>0</v>
      </c>
      <c r="F22" s="23">
        <v>0.8</v>
      </c>
      <c r="G22" s="25"/>
      <c r="I22" s="27">
        <f>E22*F22</f>
        <v>0</v>
      </c>
      <c r="J22" s="64"/>
      <c r="K22" s="68">
        <v>15</v>
      </c>
      <c r="L22" s="169"/>
      <c r="M22" s="68">
        <v>20</v>
      </c>
      <c r="N22" s="66"/>
      <c r="O22" s="27"/>
      <c r="P22" s="27"/>
      <c r="Q22" s="27">
        <f>R22*S22</f>
        <v>0</v>
      </c>
      <c r="R22" s="23">
        <v>0.8</v>
      </c>
      <c r="S22" s="92">
        <f t="shared" si="1"/>
        <v>0</v>
      </c>
      <c r="T22" s="22">
        <v>1492</v>
      </c>
      <c r="U22" s="92">
        <v>0</v>
      </c>
      <c r="V22" s="27" t="s">
        <v>22</v>
      </c>
      <c r="W22" s="94" t="s">
        <v>21</v>
      </c>
    </row>
    <row r="23" spans="1:23" ht="12" customHeight="1">
      <c r="A23" s="19" t="s">
        <v>21</v>
      </c>
      <c r="B23" s="20" t="s">
        <v>22</v>
      </c>
      <c r="C23" s="21">
        <v>0</v>
      </c>
      <c r="D23" s="31">
        <v>1200</v>
      </c>
      <c r="E23" s="22">
        <f t="shared" si="0"/>
        <v>0</v>
      </c>
      <c r="F23" s="30">
        <v>1</v>
      </c>
      <c r="G23" s="27">
        <f>E23*F23</f>
        <v>0</v>
      </c>
      <c r="H23" s="27"/>
      <c r="I23" s="27"/>
      <c r="J23" s="64"/>
      <c r="K23" s="68">
        <v>20</v>
      </c>
      <c r="L23" s="169"/>
      <c r="M23" s="68">
        <v>20</v>
      </c>
      <c r="N23" s="66"/>
      <c r="O23" s="27">
        <f>R23*S23</f>
        <v>0</v>
      </c>
      <c r="Q23" s="27"/>
      <c r="R23" s="93">
        <v>1</v>
      </c>
      <c r="S23" s="92">
        <f t="shared" si="1"/>
        <v>0</v>
      </c>
      <c r="T23" s="31">
        <v>400</v>
      </c>
      <c r="U23" s="92">
        <v>0</v>
      </c>
      <c r="V23" s="75" t="s">
        <v>24</v>
      </c>
      <c r="W23" s="94" t="s">
        <v>21</v>
      </c>
    </row>
    <row r="24" spans="1:23" ht="12" customHeight="1">
      <c r="A24" s="19" t="s">
        <v>21</v>
      </c>
      <c r="B24" s="20" t="s">
        <v>22</v>
      </c>
      <c r="C24" s="21">
        <v>0</v>
      </c>
      <c r="D24" s="31">
        <v>1200</v>
      </c>
      <c r="E24" s="22">
        <f t="shared" si="0"/>
        <v>0</v>
      </c>
      <c r="F24" s="30">
        <v>1</v>
      </c>
      <c r="G24" s="25"/>
      <c r="H24" s="27">
        <f>E24*F24</f>
        <v>0</v>
      </c>
      <c r="J24" s="64"/>
      <c r="K24" s="68">
        <v>20</v>
      </c>
      <c r="L24" s="169"/>
      <c r="M24" s="68">
        <v>20</v>
      </c>
      <c r="N24" s="66"/>
      <c r="P24" s="27">
        <f>R24*S24</f>
        <v>0</v>
      </c>
      <c r="Q24" s="27"/>
      <c r="R24" s="93">
        <v>1</v>
      </c>
      <c r="S24" s="92">
        <f t="shared" si="1"/>
        <v>0</v>
      </c>
      <c r="T24" s="31">
        <v>400</v>
      </c>
      <c r="U24" s="92">
        <v>0</v>
      </c>
      <c r="V24" s="75" t="s">
        <v>24</v>
      </c>
      <c r="W24" s="94" t="s">
        <v>21</v>
      </c>
    </row>
    <row r="25" spans="1:23" ht="12" customHeight="1">
      <c r="A25" s="19" t="s">
        <v>21</v>
      </c>
      <c r="B25" s="20" t="s">
        <v>22</v>
      </c>
      <c r="C25" s="21">
        <v>0</v>
      </c>
      <c r="D25" s="31">
        <v>1200</v>
      </c>
      <c r="E25" s="22">
        <f t="shared" si="0"/>
        <v>0</v>
      </c>
      <c r="F25" s="30">
        <v>1</v>
      </c>
      <c r="G25" s="25"/>
      <c r="I25" s="27">
        <f>E25*F25</f>
        <v>0</v>
      </c>
      <c r="J25" s="64"/>
      <c r="K25" s="68">
        <v>20</v>
      </c>
      <c r="L25" s="169"/>
      <c r="M25" s="68">
        <v>20</v>
      </c>
      <c r="N25" s="66"/>
      <c r="O25" s="27"/>
      <c r="P25" s="27"/>
      <c r="Q25" s="27">
        <f>R25*S25</f>
        <v>0</v>
      </c>
      <c r="R25" s="93">
        <v>1</v>
      </c>
      <c r="S25" s="92">
        <f t="shared" si="1"/>
        <v>0</v>
      </c>
      <c r="T25" s="31">
        <v>400</v>
      </c>
      <c r="U25" s="92">
        <v>0</v>
      </c>
      <c r="V25" s="75" t="s">
        <v>24</v>
      </c>
      <c r="W25" s="94" t="s">
        <v>21</v>
      </c>
    </row>
    <row r="26" spans="1:23" ht="12" customHeight="1">
      <c r="A26" s="165" t="s">
        <v>25</v>
      </c>
      <c r="B26" s="146"/>
      <c r="C26" s="32"/>
      <c r="D26" s="32"/>
      <c r="E26" s="33">
        <f>SUM(E8:E25)</f>
        <v>9500</v>
      </c>
      <c r="F26" s="32"/>
      <c r="G26" s="34">
        <f t="shared" ref="G26:I26" si="2">SUM(G8:G25)</f>
        <v>1125</v>
      </c>
      <c r="H26" s="27">
        <f t="shared" si="2"/>
        <v>1750</v>
      </c>
      <c r="I26" s="27">
        <f t="shared" si="2"/>
        <v>1875</v>
      </c>
      <c r="J26" s="32"/>
      <c r="K26" s="69"/>
      <c r="L26" s="170"/>
      <c r="M26" s="69"/>
      <c r="N26" s="70"/>
      <c r="O26" s="25">
        <f t="shared" ref="O26:Q26" si="3">SUM(O8:O25)</f>
        <v>1500</v>
      </c>
      <c r="P26" s="34">
        <f t="shared" si="3"/>
        <v>1250</v>
      </c>
      <c r="Q26" s="25">
        <f t="shared" si="3"/>
        <v>1000</v>
      </c>
      <c r="R26" s="27"/>
      <c r="S26" s="95">
        <f>SUM(S8:S25)</f>
        <v>7500</v>
      </c>
      <c r="T26" s="95"/>
      <c r="U26" s="34"/>
      <c r="V26" s="69"/>
      <c r="W26" s="96"/>
    </row>
    <row r="27" spans="1:23" ht="12" customHeight="1">
      <c r="A27" s="35" t="s">
        <v>26</v>
      </c>
      <c r="B27" s="32"/>
      <c r="C27" s="32"/>
      <c r="D27" s="32"/>
      <c r="E27" s="32"/>
      <c r="F27" s="32"/>
      <c r="G27" s="36"/>
      <c r="H27" s="37"/>
      <c r="I27" s="37"/>
      <c r="J27" s="32"/>
      <c r="K27" s="71"/>
      <c r="L27" s="71"/>
      <c r="M27" s="71" t="s">
        <v>206</v>
      </c>
      <c r="N27" s="70"/>
      <c r="O27" s="71"/>
      <c r="P27" s="71"/>
      <c r="Q27" s="71"/>
      <c r="R27" s="37"/>
      <c r="S27" s="71"/>
      <c r="T27" s="71"/>
      <c r="U27" s="37"/>
      <c r="V27" s="71"/>
      <c r="W27" s="96"/>
    </row>
    <row r="28" spans="1:23" ht="12" customHeight="1" thickBot="1">
      <c r="A28" s="166"/>
      <c r="B28" s="167"/>
      <c r="C28" s="38"/>
      <c r="D28" s="38"/>
      <c r="E28" s="38"/>
      <c r="F28" s="38"/>
      <c r="G28" s="39"/>
      <c r="H28" s="40"/>
      <c r="I28" s="37"/>
      <c r="J28" s="38"/>
      <c r="K28" s="72"/>
      <c r="L28" s="72"/>
      <c r="M28" s="72"/>
      <c r="N28" s="73"/>
      <c r="O28" s="72"/>
      <c r="P28" s="72"/>
      <c r="Q28" s="72"/>
      <c r="R28" s="72"/>
      <c r="S28" s="72"/>
      <c r="T28" s="72"/>
      <c r="U28" s="40"/>
      <c r="V28" s="72"/>
      <c r="W28" s="97"/>
    </row>
    <row r="29" spans="1:23" ht="12" customHeight="1" thickTop="1">
      <c r="A29" s="41"/>
      <c r="B29" s="42"/>
      <c r="C29" s="42"/>
      <c r="D29" s="42"/>
      <c r="E29" s="42"/>
      <c r="F29" s="42"/>
      <c r="G29" s="10"/>
      <c r="J29" s="42"/>
      <c r="N29" s="54"/>
      <c r="O29" s="74"/>
      <c r="P29" s="74"/>
      <c r="Q29" s="74"/>
      <c r="V29" s="151"/>
      <c r="W29" s="152"/>
    </row>
    <row r="30" spans="1:23" ht="12" customHeight="1">
      <c r="A30" s="43" t="s">
        <v>27</v>
      </c>
      <c r="B30" s="44"/>
      <c r="C30" s="44"/>
      <c r="D30" s="44"/>
      <c r="E30" s="44"/>
      <c r="F30" s="44"/>
      <c r="G30" s="45"/>
      <c r="H30" s="44"/>
      <c r="I30" s="153" t="s">
        <v>16</v>
      </c>
      <c r="J30" s="140"/>
      <c r="K30" s="153" t="s">
        <v>17</v>
      </c>
      <c r="L30" s="140"/>
      <c r="M30" s="153" t="s">
        <v>18</v>
      </c>
      <c r="N30" s="138"/>
      <c r="O30" s="140"/>
      <c r="P30" s="75"/>
      <c r="Q30" s="20"/>
      <c r="R30" s="20"/>
      <c r="S30" s="98" t="s">
        <v>28</v>
      </c>
      <c r="T30" s="98"/>
      <c r="U30" s="98"/>
      <c r="V30" s="20"/>
      <c r="W30" s="99"/>
    </row>
    <row r="31" spans="1:23" ht="12" customHeight="1">
      <c r="A31" s="46" t="s">
        <v>201</v>
      </c>
      <c r="G31" s="47" t="s">
        <v>29</v>
      </c>
      <c r="H31" s="48"/>
      <c r="I31" s="154">
        <f>G26+O26</f>
        <v>2625</v>
      </c>
      <c r="J31" s="146"/>
      <c r="K31" s="154">
        <f>H26+P26</f>
        <v>3000</v>
      </c>
      <c r="L31" s="178"/>
      <c r="M31" s="154">
        <f>I26+Q26</f>
        <v>2875</v>
      </c>
      <c r="N31" s="150"/>
      <c r="O31" s="146"/>
      <c r="P31" s="149"/>
      <c r="Q31" s="146"/>
      <c r="R31" s="20"/>
      <c r="S31" s="156" t="s">
        <v>30</v>
      </c>
      <c r="T31" s="157"/>
      <c r="U31" s="157"/>
      <c r="V31" s="157"/>
      <c r="W31" s="158"/>
    </row>
    <row r="32" spans="1:23" ht="12" customHeight="1">
      <c r="A32" s="6"/>
      <c r="G32" s="145" t="s">
        <v>31</v>
      </c>
      <c r="H32" s="146"/>
      <c r="I32" s="76"/>
      <c r="J32" s="77"/>
      <c r="K32" s="78"/>
      <c r="L32" s="77"/>
      <c r="M32" s="78"/>
      <c r="N32" s="2"/>
      <c r="O32" s="77"/>
      <c r="P32" s="147">
        <v>500</v>
      </c>
      <c r="Q32" s="146"/>
      <c r="R32" s="20"/>
      <c r="S32" s="100"/>
      <c r="T32" s="100"/>
      <c r="U32" s="100"/>
      <c r="V32" s="101"/>
      <c r="W32" s="96"/>
    </row>
    <row r="33" spans="1:23" ht="12" customHeight="1">
      <c r="A33" s="49" t="s">
        <v>32</v>
      </c>
      <c r="G33" s="47" t="s">
        <v>33</v>
      </c>
      <c r="H33" s="48"/>
      <c r="I33" s="79"/>
      <c r="J33" s="20"/>
      <c r="K33" s="75"/>
      <c r="L33" s="20"/>
      <c r="M33" s="75"/>
      <c r="N33" s="80"/>
      <c r="O33" s="20"/>
      <c r="P33" s="148">
        <f>I31+K31+M31+P32</f>
        <v>9000</v>
      </c>
      <c r="Q33" s="146"/>
      <c r="R33" s="20" t="s">
        <v>34</v>
      </c>
      <c r="S33" s="20"/>
      <c r="T33" s="20"/>
      <c r="U33" s="20"/>
      <c r="V33" s="101"/>
      <c r="W33" s="96"/>
    </row>
    <row r="34" spans="1:23" ht="12" customHeight="1">
      <c r="A34" s="6" t="s">
        <v>205</v>
      </c>
      <c r="G34" s="47" t="s">
        <v>35</v>
      </c>
      <c r="H34" s="48"/>
      <c r="I34" s="149"/>
      <c r="J34" s="146"/>
      <c r="K34" s="149"/>
      <c r="L34" s="146"/>
      <c r="M34" s="149"/>
      <c r="N34" s="150"/>
      <c r="O34" s="146"/>
      <c r="P34" s="147">
        <v>0.8</v>
      </c>
      <c r="Q34" s="146"/>
      <c r="R34" s="20" t="s">
        <v>36</v>
      </c>
      <c r="S34" s="20"/>
      <c r="T34" s="20"/>
      <c r="U34" s="20"/>
      <c r="V34" s="101"/>
      <c r="W34" s="96"/>
    </row>
    <row r="35" spans="1:23" ht="12" customHeight="1">
      <c r="A35" s="6"/>
      <c r="G35" s="137" t="s">
        <v>37</v>
      </c>
      <c r="H35" s="138"/>
      <c r="I35" s="138"/>
      <c r="J35" s="81"/>
      <c r="K35" s="82"/>
      <c r="L35" s="81"/>
      <c r="M35" s="82"/>
      <c r="N35" s="83"/>
      <c r="O35" s="81"/>
      <c r="P35" s="139">
        <f>P33/P34</f>
        <v>11250</v>
      </c>
      <c r="Q35" s="140"/>
      <c r="R35" s="81" t="s">
        <v>38</v>
      </c>
      <c r="S35" s="81"/>
      <c r="T35" s="81"/>
      <c r="U35" s="81"/>
      <c r="V35" s="102"/>
      <c r="W35" s="103"/>
    </row>
    <row r="36" spans="1:23" ht="12" customHeight="1" thickBot="1">
      <c r="A36" s="50"/>
      <c r="B36" s="51"/>
      <c r="C36" s="51"/>
      <c r="D36" s="51"/>
      <c r="E36" s="51"/>
      <c r="F36" s="51"/>
      <c r="G36" s="52" t="s">
        <v>39</v>
      </c>
      <c r="H36" s="53"/>
      <c r="I36" s="141"/>
      <c r="J36" s="142"/>
      <c r="K36" s="141"/>
      <c r="L36" s="142"/>
      <c r="M36" s="141"/>
      <c r="N36" s="143"/>
      <c r="O36" s="142"/>
      <c r="P36" s="144">
        <f>ROUNDUP(P33/575,1)</f>
        <v>15.7</v>
      </c>
      <c r="Q36" s="142"/>
      <c r="R36" s="104" t="s">
        <v>40</v>
      </c>
      <c r="S36" s="104"/>
      <c r="T36" s="104"/>
      <c r="U36" s="104"/>
      <c r="V36" s="105"/>
      <c r="W36" s="106"/>
    </row>
    <row r="37" spans="1:23" ht="12" customHeight="1">
      <c r="A37" s="9"/>
      <c r="G37" s="10"/>
      <c r="J37" s="42"/>
      <c r="N37" s="54"/>
      <c r="R37" s="29"/>
      <c r="W37" s="87"/>
    </row>
    <row r="38" spans="1:23" ht="12" customHeight="1" thickBot="1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07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 ht="12" customHeight="1">
      <c r="G49" s="10"/>
      <c r="J49" s="42"/>
      <c r="N49" s="54"/>
      <c r="R49" s="29"/>
    </row>
    <row r="50" spans="7:18" ht="12" customHeight="1">
      <c r="G50" s="10"/>
      <c r="J50" s="42"/>
      <c r="N50" s="54"/>
      <c r="R50" s="29"/>
    </row>
    <row r="51" spans="7:18" ht="12" customHeight="1">
      <c r="G51" s="10"/>
      <c r="J51" s="42"/>
      <c r="N51" s="54"/>
      <c r="R51" s="29"/>
    </row>
    <row r="52" spans="7:18" ht="12" customHeight="1">
      <c r="G52" s="10"/>
      <c r="J52" s="42"/>
      <c r="N52" s="54"/>
      <c r="R52" s="29"/>
    </row>
    <row r="53" spans="7:18" ht="12" customHeight="1">
      <c r="G53" s="10"/>
      <c r="J53" s="42"/>
      <c r="N53" s="54"/>
      <c r="R53" s="29"/>
    </row>
    <row r="54" spans="7:18" ht="12" customHeight="1">
      <c r="G54" s="10"/>
      <c r="J54" s="42"/>
      <c r="N54" s="54"/>
      <c r="R54" s="29"/>
    </row>
    <row r="55" spans="7:18" ht="12" customHeight="1">
      <c r="G55" s="10"/>
      <c r="J55" s="42"/>
      <c r="N55" s="54"/>
      <c r="R55" s="29"/>
    </row>
    <row r="56" spans="7:18" ht="12" customHeight="1">
      <c r="G56" s="10"/>
      <c r="J56" s="42"/>
      <c r="N56" s="54"/>
      <c r="R56" s="29"/>
    </row>
    <row r="57" spans="7:18" ht="12" customHeight="1">
      <c r="G57" s="10"/>
      <c r="J57" s="42"/>
      <c r="N57" s="54"/>
      <c r="R57" s="29"/>
    </row>
    <row r="58" spans="7:18" ht="12" customHeight="1">
      <c r="G58" s="10"/>
      <c r="J58" s="42"/>
      <c r="N58" s="54"/>
      <c r="R58" s="29"/>
    </row>
    <row r="59" spans="7:18" ht="12" customHeight="1">
      <c r="G59" s="10"/>
      <c r="J59" s="42"/>
      <c r="N59" s="54"/>
      <c r="R59" s="29"/>
    </row>
    <row r="60" spans="7:18" ht="12" customHeight="1">
      <c r="G60" s="10"/>
      <c r="J60" s="42"/>
      <c r="N60" s="54"/>
      <c r="R60" s="29"/>
    </row>
    <row r="61" spans="7:18" ht="12" customHeight="1">
      <c r="G61" s="10"/>
      <c r="J61" s="42"/>
      <c r="N61" s="54"/>
      <c r="R61" s="29"/>
    </row>
    <row r="62" spans="7:18" ht="12" customHeight="1">
      <c r="G62" s="10"/>
      <c r="J62" s="42"/>
      <c r="N62" s="54"/>
      <c r="R62" s="29"/>
    </row>
    <row r="63" spans="7:18" ht="12" customHeight="1">
      <c r="G63" s="10"/>
      <c r="J63" s="42"/>
      <c r="N63" s="54"/>
      <c r="R63" s="29"/>
    </row>
    <row r="64" spans="7:18" ht="12" customHeight="1">
      <c r="G64" s="10"/>
      <c r="J64" s="42"/>
      <c r="N64" s="54"/>
      <c r="R64" s="29"/>
    </row>
    <row r="65" spans="7:18" ht="12" customHeight="1">
      <c r="G65" s="10"/>
      <c r="J65" s="42"/>
      <c r="N65" s="54"/>
      <c r="R65" s="29"/>
    </row>
    <row r="66" spans="7:18" ht="12" customHeight="1">
      <c r="G66" s="10"/>
      <c r="J66" s="42"/>
      <c r="N66" s="54"/>
      <c r="R66" s="29"/>
    </row>
    <row r="67" spans="7:18" ht="12" customHeight="1">
      <c r="G67" s="10"/>
      <c r="J67" s="42"/>
      <c r="N67" s="54"/>
      <c r="R67" s="29"/>
    </row>
    <row r="68" spans="7:18" ht="12" customHeight="1">
      <c r="G68" s="10"/>
      <c r="J68" s="42"/>
      <c r="N68" s="54"/>
      <c r="R68" s="29"/>
    </row>
    <row r="69" spans="7:18" ht="12" customHeight="1">
      <c r="G69" s="10"/>
      <c r="J69" s="42"/>
      <c r="N69" s="54"/>
      <c r="R69" s="29"/>
    </row>
    <row r="70" spans="7:18" ht="12" customHeight="1">
      <c r="G70" s="10"/>
      <c r="J70" s="42"/>
      <c r="N70" s="54"/>
      <c r="R70" s="29"/>
    </row>
    <row r="71" spans="7:18" ht="12" customHeight="1">
      <c r="G71" s="10"/>
      <c r="J71" s="42"/>
      <c r="N71" s="54"/>
      <c r="R71" s="29"/>
    </row>
    <row r="72" spans="7:18" ht="12" customHeight="1">
      <c r="G72" s="10"/>
      <c r="J72" s="42"/>
      <c r="N72" s="54"/>
      <c r="R72" s="29"/>
    </row>
    <row r="73" spans="7:18" ht="12" customHeight="1">
      <c r="G73" s="10"/>
      <c r="J73" s="42"/>
      <c r="N73" s="54"/>
      <c r="R73" s="29"/>
    </row>
    <row r="74" spans="7:18" ht="12" customHeight="1">
      <c r="G74" s="10"/>
      <c r="J74" s="42"/>
      <c r="N74" s="54"/>
      <c r="R74" s="29"/>
    </row>
    <row r="75" spans="7:18" ht="12" customHeight="1">
      <c r="G75" s="10"/>
      <c r="J75" s="42"/>
      <c r="N75" s="54"/>
      <c r="R75" s="29"/>
    </row>
    <row r="76" spans="7:18" ht="12" customHeight="1">
      <c r="G76" s="10"/>
      <c r="J76" s="42"/>
      <c r="N76" s="54"/>
      <c r="R76" s="29"/>
    </row>
    <row r="77" spans="7:18" ht="12" customHeight="1">
      <c r="G77" s="10"/>
      <c r="J77" s="42"/>
      <c r="N77" s="54"/>
      <c r="R77" s="29"/>
    </row>
    <row r="78" spans="7:18" ht="12" customHeight="1">
      <c r="G78" s="10"/>
      <c r="J78" s="42"/>
      <c r="N78" s="54"/>
      <c r="R78" s="29"/>
    </row>
    <row r="79" spans="7:18" ht="12" customHeight="1">
      <c r="G79" s="10"/>
      <c r="J79" s="42"/>
      <c r="N79" s="54"/>
      <c r="R79" s="29"/>
    </row>
    <row r="80" spans="7:18" ht="12" customHeight="1">
      <c r="G80" s="10"/>
      <c r="J80" s="42"/>
      <c r="N80" s="54"/>
      <c r="R80" s="29"/>
    </row>
    <row r="81" spans="7:18" ht="12" customHeight="1">
      <c r="G81" s="10"/>
      <c r="J81" s="42"/>
      <c r="N81" s="54"/>
      <c r="R81" s="29"/>
    </row>
    <row r="82" spans="7:18" ht="12" customHeight="1">
      <c r="G82" s="10"/>
      <c r="J82" s="42"/>
      <c r="N82" s="54"/>
      <c r="R82" s="29"/>
    </row>
    <row r="83" spans="7:18" ht="12" customHeight="1">
      <c r="G83" s="10"/>
      <c r="J83" s="42"/>
      <c r="N83" s="54"/>
      <c r="R83" s="29"/>
    </row>
    <row r="84" spans="7:18" ht="12" customHeight="1">
      <c r="G84" s="10"/>
      <c r="J84" s="42"/>
      <c r="N84" s="54"/>
      <c r="R84" s="29"/>
    </row>
    <row r="85" spans="7:18" ht="12" customHeight="1">
      <c r="G85" s="10"/>
      <c r="J85" s="42"/>
      <c r="N85" s="54"/>
      <c r="R85" s="29"/>
    </row>
    <row r="86" spans="7:18" ht="12" customHeight="1">
      <c r="G86" s="10"/>
      <c r="J86" s="42"/>
      <c r="N86" s="54"/>
      <c r="R86" s="29"/>
    </row>
    <row r="87" spans="7:18" ht="12" customHeight="1">
      <c r="G87" s="10"/>
      <c r="J87" s="42"/>
      <c r="N87" s="54"/>
      <c r="R87" s="29"/>
    </row>
    <row r="88" spans="7:18" ht="12" customHeight="1">
      <c r="G88" s="10"/>
      <c r="J88" s="42"/>
      <c r="N88" s="54"/>
      <c r="R88" s="29"/>
    </row>
    <row r="89" spans="7:18" ht="12" customHeight="1">
      <c r="G89" s="10"/>
      <c r="J89" s="42"/>
      <c r="N89" s="54"/>
      <c r="R89" s="29"/>
    </row>
    <row r="90" spans="7:18" ht="12" customHeight="1">
      <c r="G90" s="10"/>
      <c r="J90" s="42"/>
      <c r="N90" s="54"/>
      <c r="R90" s="29"/>
    </row>
    <row r="91" spans="7:18" ht="12" customHeight="1">
      <c r="G91" s="10"/>
      <c r="J91" s="42"/>
      <c r="N91" s="54"/>
      <c r="R91" s="29"/>
    </row>
    <row r="92" spans="7:18" ht="12" customHeight="1">
      <c r="G92" s="10"/>
      <c r="J92" s="42"/>
      <c r="N92" s="54"/>
      <c r="R92" s="29"/>
    </row>
    <row r="93" spans="7:18" ht="12" customHeight="1">
      <c r="G93" s="10"/>
      <c r="J93" s="42"/>
      <c r="N93" s="54"/>
      <c r="R93" s="29"/>
    </row>
    <row r="94" spans="7:18" ht="12" customHeight="1">
      <c r="G94" s="10"/>
      <c r="J94" s="42"/>
      <c r="N94" s="54"/>
      <c r="R94" s="29"/>
    </row>
    <row r="95" spans="7:18" ht="12" customHeight="1">
      <c r="G95" s="10"/>
      <c r="J95" s="42"/>
      <c r="N95" s="54"/>
      <c r="R95" s="29"/>
    </row>
    <row r="96" spans="7:18" ht="12" customHeight="1">
      <c r="G96" s="10"/>
      <c r="J96" s="42"/>
      <c r="N96" s="54"/>
      <c r="R96" s="29"/>
    </row>
    <row r="97" spans="7:18" ht="12" customHeight="1">
      <c r="G97" s="10"/>
      <c r="J97" s="42"/>
      <c r="N97" s="54"/>
      <c r="R97" s="29"/>
    </row>
    <row r="98" spans="7:18" ht="12" customHeight="1">
      <c r="G98" s="10"/>
      <c r="J98" s="42"/>
      <c r="N98" s="54"/>
      <c r="R98" s="29"/>
    </row>
    <row r="99" spans="7:18" ht="12" customHeight="1">
      <c r="G99" s="10"/>
      <c r="J99" s="42"/>
      <c r="N99" s="54"/>
      <c r="R99" s="29"/>
    </row>
    <row r="100" spans="7:18" ht="12" customHeight="1">
      <c r="G100" s="10"/>
      <c r="J100" s="42"/>
      <c r="N100" s="54"/>
      <c r="R100" s="29"/>
    </row>
  </sheetData>
  <mergeCells count="33">
    <mergeCell ref="M31:O31"/>
    <mergeCell ref="P31:Q31"/>
    <mergeCell ref="I31:J31"/>
    <mergeCell ref="K31:L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G32:H32"/>
    <mergeCell ref="P32:Q32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L8:L26"/>
    <mergeCell ref="A26:B26"/>
    <mergeCell ref="A28:B28"/>
  </mergeCells>
  <pageMargins left="0.74803149606299202" right="0.74803149606299202" top="0.98425196850393704" bottom="0.98425196850393704" header="0" footer="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E0D4-E0CD-4BD9-9FBD-12C854E911B0}">
  <sheetPr>
    <pageSetUpPr fitToPage="1"/>
  </sheetPr>
  <dimension ref="A1:W100"/>
  <sheetViews>
    <sheetView zoomScaleNormal="100" workbookViewId="0">
      <selection activeCell="K19" sqref="K19"/>
    </sheetView>
  </sheetViews>
  <sheetFormatPr defaultColWidth="16.6640625" defaultRowHeight="15" customHeight="1"/>
  <cols>
    <col min="1" max="1" width="27.109375" customWidth="1"/>
    <col min="2" max="2" width="7.6640625" customWidth="1"/>
    <col min="3" max="3" width="5.6640625" customWidth="1"/>
    <col min="4" max="4" width="6.33203125" customWidth="1"/>
    <col min="5" max="6" width="7.6640625" customWidth="1"/>
    <col min="7" max="9" width="7.6640625" style="120" customWidth="1"/>
    <col min="10" max="10" width="2.44140625" customWidth="1"/>
    <col min="11" max="11" width="3.6640625" customWidth="1"/>
    <col min="12" max="12" width="6.6640625" customWidth="1"/>
    <col min="13" max="13" width="3.6640625" customWidth="1"/>
    <col min="14" max="14" width="2.44140625" customWidth="1"/>
    <col min="15" max="17" width="7.6640625" style="120" customWidth="1"/>
    <col min="18" max="19" width="7.6640625" customWidth="1"/>
    <col min="20" max="21" width="5.6640625" customWidth="1"/>
    <col min="22" max="22" width="7.6640625" customWidth="1"/>
    <col min="23" max="23" width="25.44140625" customWidth="1"/>
    <col min="24" max="24" width="8.6640625" customWidth="1"/>
  </cols>
  <sheetData>
    <row r="1" spans="1:23" ht="12" customHeight="1">
      <c r="A1" s="177" t="s">
        <v>183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3"/>
    </row>
    <row r="2" spans="1:23" ht="12" customHeight="1">
      <c r="A2" s="1" t="s">
        <v>0</v>
      </c>
      <c r="B2" s="176" t="s">
        <v>128</v>
      </c>
      <c r="C2" s="150"/>
      <c r="D2" s="150"/>
      <c r="E2" s="3"/>
      <c r="F2" s="3"/>
      <c r="G2" s="4"/>
      <c r="H2" s="8"/>
      <c r="I2" s="8"/>
      <c r="J2" s="42"/>
      <c r="K2" s="5"/>
      <c r="L2" s="5"/>
      <c r="M2" s="5"/>
      <c r="N2" s="54"/>
      <c r="O2" s="8"/>
      <c r="P2" s="129" t="s">
        <v>1</v>
      </c>
      <c r="Q2" s="119" t="s">
        <v>204</v>
      </c>
      <c r="R2" s="3"/>
      <c r="S2" s="3"/>
      <c r="T2" s="3"/>
      <c r="U2" s="3"/>
      <c r="V2" s="84"/>
      <c r="W2" s="85"/>
    </row>
    <row r="3" spans="1:23" ht="12" customHeight="1">
      <c r="A3" s="1" t="s">
        <v>2</v>
      </c>
      <c r="B3" s="174" t="s">
        <v>3</v>
      </c>
      <c r="C3" s="150"/>
      <c r="D3" s="150"/>
      <c r="E3" s="3"/>
      <c r="F3" s="3"/>
      <c r="G3" s="4"/>
      <c r="H3" s="119"/>
      <c r="I3" s="119"/>
      <c r="J3" s="56"/>
      <c r="K3" s="3"/>
      <c r="L3" s="3"/>
      <c r="M3" s="3"/>
      <c r="N3" s="57"/>
      <c r="O3" s="119"/>
      <c r="P3" s="129" t="s">
        <v>4</v>
      </c>
      <c r="Q3" s="131" t="s">
        <v>78</v>
      </c>
      <c r="R3" s="3"/>
      <c r="S3" s="3"/>
      <c r="T3" s="3"/>
      <c r="U3" s="3"/>
      <c r="V3" s="3"/>
      <c r="W3" s="86"/>
    </row>
    <row r="4" spans="1:23" ht="12" customHeight="1">
      <c r="A4" s="6" t="s">
        <v>5</v>
      </c>
      <c r="B4" s="175"/>
      <c r="C4" s="138"/>
      <c r="D4" s="138"/>
      <c r="E4" s="7"/>
      <c r="F4" s="5"/>
      <c r="G4" s="8"/>
      <c r="H4" s="8"/>
      <c r="I4" s="8"/>
      <c r="J4" s="42"/>
      <c r="K4" s="5"/>
      <c r="L4" s="5"/>
      <c r="M4" s="5"/>
      <c r="N4" s="54"/>
      <c r="O4" s="8"/>
      <c r="P4" s="8" t="s">
        <v>6</v>
      </c>
      <c r="Q4" s="175" t="s">
        <v>7</v>
      </c>
      <c r="R4" s="138"/>
      <c r="S4" s="5"/>
      <c r="T4" s="5"/>
      <c r="U4" s="5"/>
      <c r="V4" s="5"/>
      <c r="W4" s="85"/>
    </row>
    <row r="5" spans="1:23" ht="12" customHeight="1">
      <c r="A5" s="9"/>
      <c r="G5" s="10"/>
      <c r="J5" s="42"/>
      <c r="N5" s="54"/>
      <c r="W5" s="87"/>
    </row>
    <row r="6" spans="1:23" ht="34.5" customHeight="1" thickBot="1">
      <c r="A6" s="11" t="s">
        <v>8</v>
      </c>
      <c r="B6" s="12" t="s">
        <v>9</v>
      </c>
      <c r="C6" s="12" t="s">
        <v>10</v>
      </c>
      <c r="D6" s="13" t="s">
        <v>11</v>
      </c>
      <c r="E6" s="13" t="s">
        <v>12</v>
      </c>
      <c r="F6" s="13" t="s">
        <v>13</v>
      </c>
      <c r="G6" s="159" t="s">
        <v>14</v>
      </c>
      <c r="H6" s="160"/>
      <c r="I6" s="161"/>
      <c r="J6" s="162" t="s">
        <v>15</v>
      </c>
      <c r="K6" s="163"/>
      <c r="L6" s="163"/>
      <c r="M6" s="163"/>
      <c r="N6" s="164"/>
      <c r="O6" s="159" t="s">
        <v>14</v>
      </c>
      <c r="P6" s="160"/>
      <c r="Q6" s="161"/>
      <c r="R6" s="13" t="s">
        <v>13</v>
      </c>
      <c r="S6" s="13" t="s">
        <v>12</v>
      </c>
      <c r="T6" s="13" t="s">
        <v>11</v>
      </c>
      <c r="U6" s="12" t="s">
        <v>10</v>
      </c>
      <c r="V6" s="12" t="s">
        <v>9</v>
      </c>
      <c r="W6" s="88" t="s">
        <v>8</v>
      </c>
    </row>
    <row r="7" spans="1:23" ht="12" customHeight="1" thickTop="1">
      <c r="A7" s="14"/>
      <c r="B7" s="15"/>
      <c r="C7" s="16"/>
      <c r="D7" s="16"/>
      <c r="E7" s="16"/>
      <c r="F7" s="16"/>
      <c r="G7" s="17" t="s">
        <v>16</v>
      </c>
      <c r="H7" s="130" t="s">
        <v>17</v>
      </c>
      <c r="I7" s="130" t="s">
        <v>18</v>
      </c>
      <c r="J7" s="58"/>
      <c r="K7" s="59"/>
      <c r="L7" s="60"/>
      <c r="M7" s="60"/>
      <c r="N7" s="61"/>
      <c r="O7" s="121" t="s">
        <v>16</v>
      </c>
      <c r="P7" s="130" t="s">
        <v>17</v>
      </c>
      <c r="Q7" s="17" t="s">
        <v>18</v>
      </c>
      <c r="R7" s="90"/>
      <c r="S7" s="90"/>
      <c r="T7" s="90"/>
      <c r="U7" s="90"/>
      <c r="V7" s="15"/>
      <c r="W7" s="91"/>
    </row>
    <row r="8" spans="1:23" ht="12" customHeight="1">
      <c r="A8" s="114" t="s">
        <v>79</v>
      </c>
      <c r="B8" s="20" t="s">
        <v>20</v>
      </c>
      <c r="C8" s="21">
        <v>1</v>
      </c>
      <c r="D8" s="21">
        <v>56</v>
      </c>
      <c r="E8" s="22">
        <f t="shared" ref="E8:E25" si="0">C8*D8</f>
        <v>56</v>
      </c>
      <c r="F8" s="23">
        <v>0.8</v>
      </c>
      <c r="G8" s="24">
        <f>E8*F8</f>
        <v>44.800000000000004</v>
      </c>
      <c r="H8" s="24"/>
      <c r="I8" s="132"/>
      <c r="J8" s="64">
        <v>1</v>
      </c>
      <c r="K8" s="65">
        <v>15</v>
      </c>
      <c r="L8" s="168"/>
      <c r="M8" s="65">
        <v>15</v>
      </c>
      <c r="N8" s="66">
        <v>13</v>
      </c>
      <c r="O8" s="24">
        <f>S8*R8</f>
        <v>0</v>
      </c>
      <c r="Q8" s="24"/>
      <c r="R8" s="23">
        <v>0.8</v>
      </c>
      <c r="S8" s="92">
        <f t="shared" ref="S8:S25" si="1">T8*U8</f>
        <v>0</v>
      </c>
      <c r="T8" s="28">
        <v>116</v>
      </c>
      <c r="U8" s="92">
        <v>0</v>
      </c>
      <c r="V8" s="20" t="s">
        <v>20</v>
      </c>
      <c r="W8" s="118" t="s">
        <v>21</v>
      </c>
    </row>
    <row r="9" spans="1:23" ht="12" customHeight="1">
      <c r="A9" s="114" t="s">
        <v>81</v>
      </c>
      <c r="B9" s="20" t="s">
        <v>20</v>
      </c>
      <c r="C9" s="21">
        <v>1</v>
      </c>
      <c r="D9" s="21">
        <v>116</v>
      </c>
      <c r="E9" s="22">
        <f t="shared" si="0"/>
        <v>116</v>
      </c>
      <c r="F9" s="23">
        <v>0.8</v>
      </c>
      <c r="G9" s="25"/>
      <c r="H9" s="25">
        <f>E9*F9</f>
        <v>92.800000000000011</v>
      </c>
      <c r="J9" s="64">
        <v>2</v>
      </c>
      <c r="K9" s="65">
        <v>15</v>
      </c>
      <c r="L9" s="169"/>
      <c r="M9" s="65">
        <v>15</v>
      </c>
      <c r="N9" s="66">
        <v>14</v>
      </c>
      <c r="P9" s="25">
        <f>S9*R9</f>
        <v>92.800000000000011</v>
      </c>
      <c r="Q9" s="25"/>
      <c r="R9" s="23">
        <v>0.8</v>
      </c>
      <c r="S9" s="92">
        <f t="shared" si="1"/>
        <v>116</v>
      </c>
      <c r="T9" s="28">
        <v>116</v>
      </c>
      <c r="U9" s="92">
        <v>1</v>
      </c>
      <c r="V9" s="20" t="s">
        <v>20</v>
      </c>
      <c r="W9" s="118" t="s">
        <v>82</v>
      </c>
    </row>
    <row r="10" spans="1:23" ht="12" customHeight="1">
      <c r="A10" s="114" t="s">
        <v>21</v>
      </c>
      <c r="B10" s="20" t="s">
        <v>20</v>
      </c>
      <c r="C10" s="21">
        <v>0</v>
      </c>
      <c r="D10" s="21">
        <v>116</v>
      </c>
      <c r="E10" s="22">
        <f t="shared" si="0"/>
        <v>0</v>
      </c>
      <c r="F10" s="23">
        <v>0.8</v>
      </c>
      <c r="G10" s="25"/>
      <c r="I10" s="25">
        <f>E10*F10</f>
        <v>0</v>
      </c>
      <c r="J10" s="64">
        <v>3</v>
      </c>
      <c r="K10" s="65">
        <v>15</v>
      </c>
      <c r="L10" s="169"/>
      <c r="M10" s="65">
        <v>15</v>
      </c>
      <c r="N10" s="66">
        <v>15</v>
      </c>
      <c r="O10" s="25"/>
      <c r="P10" s="25"/>
      <c r="Q10" s="25">
        <f>S10*R10</f>
        <v>92.800000000000011</v>
      </c>
      <c r="R10" s="23">
        <v>0.8</v>
      </c>
      <c r="S10" s="92">
        <f t="shared" si="1"/>
        <v>116</v>
      </c>
      <c r="T10" s="28">
        <v>116</v>
      </c>
      <c r="U10" s="92">
        <v>1</v>
      </c>
      <c r="V10" s="20" t="s">
        <v>20</v>
      </c>
      <c r="W10" s="118" t="s">
        <v>80</v>
      </c>
    </row>
    <row r="11" spans="1:23" ht="12" customHeight="1">
      <c r="A11" s="114"/>
      <c r="B11" s="20" t="s">
        <v>20</v>
      </c>
      <c r="C11" s="21">
        <v>0</v>
      </c>
      <c r="D11" s="21">
        <v>560</v>
      </c>
      <c r="E11" s="22">
        <f t="shared" si="0"/>
        <v>0</v>
      </c>
      <c r="F11" s="23">
        <v>0.8</v>
      </c>
      <c r="G11" s="25">
        <f>E11*F11</f>
        <v>0</v>
      </c>
      <c r="H11" s="25"/>
      <c r="I11" s="25"/>
      <c r="J11" s="64">
        <v>4</v>
      </c>
      <c r="K11" s="65">
        <v>15</v>
      </c>
      <c r="L11" s="169"/>
      <c r="M11" s="65">
        <v>15</v>
      </c>
      <c r="N11" s="66">
        <v>16</v>
      </c>
      <c r="O11" s="25">
        <f>S11*R11</f>
        <v>0</v>
      </c>
      <c r="Q11" s="25"/>
      <c r="R11" s="23">
        <v>0.8</v>
      </c>
      <c r="S11" s="92">
        <f t="shared" si="1"/>
        <v>0</v>
      </c>
      <c r="T11" s="28">
        <v>116</v>
      </c>
      <c r="U11" s="92">
        <v>0</v>
      </c>
      <c r="V11" s="20" t="s">
        <v>20</v>
      </c>
      <c r="W11" s="118" t="s">
        <v>21</v>
      </c>
    </row>
    <row r="12" spans="1:23" ht="12" customHeight="1">
      <c r="A12" s="114" t="s">
        <v>186</v>
      </c>
      <c r="B12" s="20" t="s">
        <v>20</v>
      </c>
      <c r="C12" s="21">
        <v>1</v>
      </c>
      <c r="D12" s="21">
        <v>116</v>
      </c>
      <c r="E12" s="22">
        <f t="shared" si="0"/>
        <v>116</v>
      </c>
      <c r="F12" s="23">
        <v>0.8</v>
      </c>
      <c r="G12" s="25"/>
      <c r="H12" s="25">
        <f>E12*F12</f>
        <v>92.800000000000011</v>
      </c>
      <c r="J12" s="64">
        <v>5</v>
      </c>
      <c r="K12" s="65">
        <v>15</v>
      </c>
      <c r="L12" s="169"/>
      <c r="M12" s="65">
        <v>15</v>
      </c>
      <c r="N12" s="66">
        <v>17</v>
      </c>
      <c r="P12" s="25">
        <f>S12*R12</f>
        <v>92.800000000000011</v>
      </c>
      <c r="Q12" s="25"/>
      <c r="R12" s="23">
        <v>0.8</v>
      </c>
      <c r="S12" s="92">
        <f t="shared" si="1"/>
        <v>116</v>
      </c>
      <c r="T12" s="28">
        <v>116</v>
      </c>
      <c r="U12" s="92">
        <v>1</v>
      </c>
      <c r="V12" s="20" t="s">
        <v>20</v>
      </c>
      <c r="W12" s="118" t="s">
        <v>192</v>
      </c>
    </row>
    <row r="13" spans="1:23" ht="12" customHeight="1">
      <c r="A13" s="114" t="s">
        <v>187</v>
      </c>
      <c r="B13" s="20" t="s">
        <v>20</v>
      </c>
      <c r="C13" s="21">
        <v>1</v>
      </c>
      <c r="D13" s="21">
        <v>560</v>
      </c>
      <c r="E13" s="22">
        <f t="shared" si="0"/>
        <v>560</v>
      </c>
      <c r="F13" s="23">
        <v>0.8</v>
      </c>
      <c r="G13" s="25"/>
      <c r="I13" s="25">
        <f>E13*F13</f>
        <v>448</v>
      </c>
      <c r="J13" s="64">
        <v>6</v>
      </c>
      <c r="K13" s="65">
        <v>15</v>
      </c>
      <c r="L13" s="169"/>
      <c r="M13" s="67">
        <v>15</v>
      </c>
      <c r="N13" s="66">
        <v>18</v>
      </c>
      <c r="O13" s="25"/>
      <c r="P13" s="25"/>
      <c r="Q13" s="25">
        <f>S13*R13</f>
        <v>92.800000000000011</v>
      </c>
      <c r="R13" s="23">
        <v>0.8</v>
      </c>
      <c r="S13" s="92">
        <f t="shared" si="1"/>
        <v>116</v>
      </c>
      <c r="T13" s="28">
        <v>116</v>
      </c>
      <c r="U13" s="92">
        <v>1</v>
      </c>
      <c r="V13" s="20" t="s">
        <v>20</v>
      </c>
      <c r="W13" s="118" t="s">
        <v>191</v>
      </c>
    </row>
    <row r="14" spans="1:23" ht="12" customHeight="1">
      <c r="A14" s="114" t="s">
        <v>189</v>
      </c>
      <c r="B14" s="20" t="s">
        <v>20</v>
      </c>
      <c r="C14" s="21">
        <v>1</v>
      </c>
      <c r="D14" s="28">
        <v>116</v>
      </c>
      <c r="E14" s="22">
        <f t="shared" si="0"/>
        <v>116</v>
      </c>
      <c r="F14" s="23">
        <v>0.8</v>
      </c>
      <c r="G14" s="25">
        <f>E14*F14</f>
        <v>92.800000000000011</v>
      </c>
      <c r="H14" s="25"/>
      <c r="I14" s="25"/>
      <c r="J14" s="64">
        <v>7</v>
      </c>
      <c r="K14" s="65">
        <v>15</v>
      </c>
      <c r="L14" s="169"/>
      <c r="M14" s="67">
        <v>15</v>
      </c>
      <c r="N14" s="66">
        <v>19</v>
      </c>
      <c r="O14" s="25">
        <f>S14*R14</f>
        <v>0</v>
      </c>
      <c r="Q14" s="25"/>
      <c r="R14" s="23">
        <v>0.8</v>
      </c>
      <c r="S14" s="92">
        <f t="shared" si="1"/>
        <v>0</v>
      </c>
      <c r="T14" s="28">
        <v>116</v>
      </c>
      <c r="U14" s="92">
        <v>0</v>
      </c>
      <c r="V14" s="20" t="s">
        <v>20</v>
      </c>
      <c r="W14" s="118" t="s">
        <v>21</v>
      </c>
    </row>
    <row r="15" spans="1:23" ht="12" customHeight="1">
      <c r="A15" s="114" t="s">
        <v>185</v>
      </c>
      <c r="B15" s="20" t="s">
        <v>20</v>
      </c>
      <c r="C15" s="21">
        <v>1</v>
      </c>
      <c r="D15" s="28">
        <v>560</v>
      </c>
      <c r="E15" s="22">
        <f t="shared" si="0"/>
        <v>560</v>
      </c>
      <c r="F15" s="23">
        <v>0.8</v>
      </c>
      <c r="G15" s="25"/>
      <c r="H15" s="25">
        <f>E15*F15</f>
        <v>448</v>
      </c>
      <c r="J15" s="64">
        <v>8</v>
      </c>
      <c r="K15" s="68">
        <v>15</v>
      </c>
      <c r="L15" s="169"/>
      <c r="M15" s="67">
        <v>15</v>
      </c>
      <c r="N15" s="66">
        <v>20</v>
      </c>
      <c r="P15" s="25">
        <f>S15*R15</f>
        <v>92.800000000000011</v>
      </c>
      <c r="Q15" s="25"/>
      <c r="R15" s="23">
        <v>0.8</v>
      </c>
      <c r="S15" s="92">
        <f t="shared" si="1"/>
        <v>116</v>
      </c>
      <c r="T15" s="28">
        <v>116</v>
      </c>
      <c r="U15" s="92">
        <v>1</v>
      </c>
      <c r="V15" s="111" t="s">
        <v>22</v>
      </c>
      <c r="W15" s="118" t="s">
        <v>188</v>
      </c>
    </row>
    <row r="16" spans="1:23" ht="12" customHeight="1">
      <c r="A16" s="114" t="s">
        <v>195</v>
      </c>
      <c r="B16" s="20" t="s">
        <v>20</v>
      </c>
      <c r="C16" s="21">
        <v>1</v>
      </c>
      <c r="D16" s="28">
        <v>400</v>
      </c>
      <c r="E16" s="22">
        <f t="shared" si="0"/>
        <v>400</v>
      </c>
      <c r="F16" s="23">
        <v>0.8</v>
      </c>
      <c r="G16" s="25"/>
      <c r="I16" s="25">
        <f>E16*F16</f>
        <v>320</v>
      </c>
      <c r="J16" s="64">
        <v>9</v>
      </c>
      <c r="K16" s="68">
        <v>15</v>
      </c>
      <c r="L16" s="169"/>
      <c r="M16" s="67">
        <v>15</v>
      </c>
      <c r="N16" s="66">
        <v>21</v>
      </c>
      <c r="O16" s="25"/>
      <c r="P16" s="25"/>
      <c r="Q16" s="25">
        <f>R16*S16</f>
        <v>92.800000000000011</v>
      </c>
      <c r="R16" s="23">
        <v>0.8</v>
      </c>
      <c r="S16" s="92">
        <f t="shared" si="1"/>
        <v>116</v>
      </c>
      <c r="T16" s="28">
        <v>116</v>
      </c>
      <c r="U16" s="92">
        <v>1</v>
      </c>
      <c r="V16" s="111" t="s">
        <v>22</v>
      </c>
      <c r="W16" s="118" t="s">
        <v>194</v>
      </c>
    </row>
    <row r="17" spans="1:23" ht="12" customHeight="1">
      <c r="A17" s="114" t="s">
        <v>196</v>
      </c>
      <c r="B17" s="20" t="s">
        <v>20</v>
      </c>
      <c r="C17" s="21">
        <v>1</v>
      </c>
      <c r="D17" s="28">
        <v>400</v>
      </c>
      <c r="E17" s="22">
        <f t="shared" si="0"/>
        <v>400</v>
      </c>
      <c r="F17" s="23">
        <v>0.8</v>
      </c>
      <c r="G17" s="25">
        <f>F17*E17</f>
        <v>320</v>
      </c>
      <c r="H17" s="133"/>
      <c r="I17" s="25"/>
      <c r="J17" s="64">
        <v>10</v>
      </c>
      <c r="K17" s="68">
        <v>15</v>
      </c>
      <c r="L17" s="169"/>
      <c r="M17" s="67">
        <v>20</v>
      </c>
      <c r="N17" s="66">
        <v>22</v>
      </c>
      <c r="O17" s="25">
        <f>S17*R17</f>
        <v>680</v>
      </c>
      <c r="Q17" s="25"/>
      <c r="R17" s="23">
        <v>0.8</v>
      </c>
      <c r="S17" s="92">
        <f t="shared" si="1"/>
        <v>850</v>
      </c>
      <c r="T17" s="22">
        <v>850</v>
      </c>
      <c r="U17" s="92">
        <v>1</v>
      </c>
      <c r="V17" s="111" t="s">
        <v>22</v>
      </c>
      <c r="W17" s="118" t="s">
        <v>193</v>
      </c>
    </row>
    <row r="18" spans="1:23" ht="12" customHeight="1">
      <c r="A18" s="114" t="s">
        <v>184</v>
      </c>
      <c r="B18" s="20" t="s">
        <v>20</v>
      </c>
      <c r="C18" s="21">
        <v>1</v>
      </c>
      <c r="D18" s="28">
        <v>116</v>
      </c>
      <c r="E18" s="22">
        <f t="shared" si="0"/>
        <v>116</v>
      </c>
      <c r="F18" s="23">
        <v>0.8</v>
      </c>
      <c r="G18" s="25"/>
      <c r="H18" s="25">
        <f>E18*F18</f>
        <v>92.800000000000011</v>
      </c>
      <c r="J18" s="64">
        <v>11</v>
      </c>
      <c r="K18" s="68">
        <v>15</v>
      </c>
      <c r="L18" s="169"/>
      <c r="M18" s="67">
        <v>15</v>
      </c>
      <c r="N18" s="66">
        <v>23</v>
      </c>
      <c r="P18" s="25">
        <f>R18*S18</f>
        <v>92.800000000000011</v>
      </c>
      <c r="Q18" s="25"/>
      <c r="R18" s="23">
        <v>0.8</v>
      </c>
      <c r="S18" s="92">
        <f t="shared" si="1"/>
        <v>116</v>
      </c>
      <c r="T18" s="22">
        <v>116</v>
      </c>
      <c r="U18" s="92">
        <v>1</v>
      </c>
      <c r="V18" s="111" t="s">
        <v>20</v>
      </c>
      <c r="W18" s="118" t="s">
        <v>190</v>
      </c>
    </row>
    <row r="19" spans="1:23" ht="12" customHeight="1">
      <c r="A19" s="112" t="s">
        <v>21</v>
      </c>
      <c r="B19" s="20" t="s">
        <v>22</v>
      </c>
      <c r="C19" s="21">
        <v>0</v>
      </c>
      <c r="D19" s="28">
        <v>116</v>
      </c>
      <c r="E19" s="22">
        <f t="shared" si="0"/>
        <v>0</v>
      </c>
      <c r="F19" s="23">
        <v>0.8</v>
      </c>
      <c r="G19" s="25"/>
      <c r="I19" s="25">
        <f>E19*F19</f>
        <v>0</v>
      </c>
      <c r="J19" s="64">
        <v>12</v>
      </c>
      <c r="K19" s="68">
        <v>20</v>
      </c>
      <c r="L19" s="169"/>
      <c r="M19" s="68">
        <v>20</v>
      </c>
      <c r="N19" s="66">
        <v>24</v>
      </c>
      <c r="O19" s="25"/>
      <c r="P19" s="25"/>
      <c r="Q19" s="25">
        <f>R19*S19</f>
        <v>0</v>
      </c>
      <c r="R19" s="23">
        <v>0.8</v>
      </c>
      <c r="S19" s="92">
        <f t="shared" si="1"/>
        <v>0</v>
      </c>
      <c r="T19" s="22">
        <v>1500</v>
      </c>
      <c r="U19" s="92">
        <v>0</v>
      </c>
      <c r="V19" s="111" t="s">
        <v>22</v>
      </c>
      <c r="W19" s="118" t="s">
        <v>21</v>
      </c>
    </row>
    <row r="20" spans="1:23" ht="12" customHeight="1">
      <c r="A20" s="19" t="s">
        <v>21</v>
      </c>
      <c r="B20" s="20" t="s">
        <v>22</v>
      </c>
      <c r="C20" s="21">
        <v>0</v>
      </c>
      <c r="D20" s="31">
        <v>1500</v>
      </c>
      <c r="E20" s="22">
        <f t="shared" si="0"/>
        <v>0</v>
      </c>
      <c r="F20" s="30">
        <v>0.8</v>
      </c>
      <c r="G20" s="25">
        <f>E20*F20</f>
        <v>0</v>
      </c>
      <c r="H20" s="25"/>
      <c r="I20" s="25"/>
      <c r="J20" s="64"/>
      <c r="K20" s="68">
        <v>20</v>
      </c>
      <c r="L20" s="169"/>
      <c r="M20" s="68">
        <v>30</v>
      </c>
      <c r="N20" s="64"/>
      <c r="O20" s="25">
        <f>R20*S20</f>
        <v>0</v>
      </c>
      <c r="Q20" s="25"/>
      <c r="R20" s="93">
        <v>0.6</v>
      </c>
      <c r="S20" s="92">
        <f t="shared" si="1"/>
        <v>0</v>
      </c>
      <c r="T20" s="31">
        <v>3000</v>
      </c>
      <c r="U20" s="92">
        <v>0</v>
      </c>
      <c r="V20" s="27" t="s">
        <v>23</v>
      </c>
      <c r="W20" s="94" t="s">
        <v>21</v>
      </c>
    </row>
    <row r="21" spans="1:23" ht="12" customHeight="1">
      <c r="A21" s="19" t="s">
        <v>21</v>
      </c>
      <c r="B21" s="20" t="s">
        <v>22</v>
      </c>
      <c r="C21" s="21">
        <v>0</v>
      </c>
      <c r="D21" s="31">
        <v>2000</v>
      </c>
      <c r="E21" s="22">
        <f t="shared" si="0"/>
        <v>0</v>
      </c>
      <c r="F21" s="30">
        <v>0.6</v>
      </c>
      <c r="G21" s="25"/>
      <c r="H21" s="25">
        <f>E21*F21</f>
        <v>0</v>
      </c>
      <c r="J21" s="64"/>
      <c r="K21" s="68">
        <v>20</v>
      </c>
      <c r="L21" s="169"/>
      <c r="M21" s="68">
        <v>20</v>
      </c>
      <c r="N21" s="66"/>
      <c r="P21" s="25">
        <f>R21*S21</f>
        <v>0</v>
      </c>
      <c r="Q21" s="25"/>
      <c r="R21" s="93">
        <v>1</v>
      </c>
      <c r="S21" s="92">
        <f t="shared" si="1"/>
        <v>0</v>
      </c>
      <c r="T21" s="31">
        <v>400</v>
      </c>
      <c r="U21" s="92">
        <v>0</v>
      </c>
      <c r="V21" s="27" t="s">
        <v>24</v>
      </c>
      <c r="W21" s="94" t="s">
        <v>21</v>
      </c>
    </row>
    <row r="22" spans="1:23" ht="12" customHeight="1">
      <c r="A22" s="19" t="s">
        <v>21</v>
      </c>
      <c r="B22" s="20" t="s">
        <v>22</v>
      </c>
      <c r="C22" s="21">
        <v>0</v>
      </c>
      <c r="D22" s="28">
        <v>1119</v>
      </c>
      <c r="E22" s="22">
        <f t="shared" si="0"/>
        <v>0</v>
      </c>
      <c r="F22" s="23">
        <v>0.8</v>
      </c>
      <c r="G22" s="25"/>
      <c r="I22" s="25">
        <f>E22*F22</f>
        <v>0</v>
      </c>
      <c r="J22" s="64"/>
      <c r="K22" s="68">
        <v>15</v>
      </c>
      <c r="L22" s="169"/>
      <c r="M22" s="68">
        <v>20</v>
      </c>
      <c r="N22" s="66"/>
      <c r="O22" s="25"/>
      <c r="P22" s="25"/>
      <c r="Q22" s="25">
        <f>R22*S22</f>
        <v>0</v>
      </c>
      <c r="R22" s="23">
        <v>0.8</v>
      </c>
      <c r="S22" s="92">
        <f t="shared" si="1"/>
        <v>0</v>
      </c>
      <c r="T22" s="22">
        <v>1492</v>
      </c>
      <c r="U22" s="92">
        <v>0</v>
      </c>
      <c r="V22" s="27" t="s">
        <v>22</v>
      </c>
      <c r="W22" s="94" t="s">
        <v>21</v>
      </c>
    </row>
    <row r="23" spans="1:23" ht="12" customHeight="1">
      <c r="A23" s="19" t="s">
        <v>21</v>
      </c>
      <c r="B23" s="20" t="s">
        <v>22</v>
      </c>
      <c r="C23" s="21">
        <v>0</v>
      </c>
      <c r="D23" s="31">
        <v>1200</v>
      </c>
      <c r="E23" s="22">
        <f t="shared" si="0"/>
        <v>0</v>
      </c>
      <c r="F23" s="30">
        <v>1</v>
      </c>
      <c r="G23" s="25">
        <f>E23*F23</f>
        <v>0</v>
      </c>
      <c r="H23" s="25"/>
      <c r="I23" s="25"/>
      <c r="J23" s="64"/>
      <c r="K23" s="68">
        <v>20</v>
      </c>
      <c r="L23" s="169"/>
      <c r="M23" s="68">
        <v>20</v>
      </c>
      <c r="N23" s="66"/>
      <c r="O23" s="25">
        <f>R23*S23</f>
        <v>0</v>
      </c>
      <c r="Q23" s="25"/>
      <c r="R23" s="93">
        <v>1</v>
      </c>
      <c r="S23" s="92">
        <f t="shared" si="1"/>
        <v>0</v>
      </c>
      <c r="T23" s="31">
        <v>400</v>
      </c>
      <c r="U23" s="92">
        <v>0</v>
      </c>
      <c r="V23" s="75" t="s">
        <v>24</v>
      </c>
      <c r="W23" s="94" t="s">
        <v>21</v>
      </c>
    </row>
    <row r="24" spans="1:23" ht="12" customHeight="1">
      <c r="A24" s="19" t="s">
        <v>21</v>
      </c>
      <c r="B24" s="20" t="s">
        <v>22</v>
      </c>
      <c r="C24" s="21">
        <v>0</v>
      </c>
      <c r="D24" s="31">
        <v>1200</v>
      </c>
      <c r="E24" s="22">
        <f t="shared" si="0"/>
        <v>0</v>
      </c>
      <c r="F24" s="30">
        <v>1</v>
      </c>
      <c r="G24" s="25"/>
      <c r="H24" s="25">
        <f>E24*F24</f>
        <v>0</v>
      </c>
      <c r="J24" s="64"/>
      <c r="K24" s="68">
        <v>20</v>
      </c>
      <c r="L24" s="169"/>
      <c r="M24" s="68">
        <v>20</v>
      </c>
      <c r="N24" s="66"/>
      <c r="P24" s="25">
        <f>R24*S24</f>
        <v>0</v>
      </c>
      <c r="Q24" s="25"/>
      <c r="R24" s="93">
        <v>1</v>
      </c>
      <c r="S24" s="92">
        <f t="shared" si="1"/>
        <v>0</v>
      </c>
      <c r="T24" s="31">
        <v>400</v>
      </c>
      <c r="U24" s="92">
        <v>0</v>
      </c>
      <c r="V24" s="75" t="s">
        <v>24</v>
      </c>
      <c r="W24" s="94" t="s">
        <v>21</v>
      </c>
    </row>
    <row r="25" spans="1:23" ht="12" customHeight="1">
      <c r="A25" s="19" t="s">
        <v>21</v>
      </c>
      <c r="B25" s="20" t="s">
        <v>22</v>
      </c>
      <c r="C25" s="21">
        <v>0</v>
      </c>
      <c r="D25" s="31">
        <v>1200</v>
      </c>
      <c r="E25" s="22">
        <f t="shared" si="0"/>
        <v>0</v>
      </c>
      <c r="F25" s="30">
        <v>1</v>
      </c>
      <c r="G25" s="25"/>
      <c r="I25" s="25">
        <f>E25*F25</f>
        <v>0</v>
      </c>
      <c r="J25" s="64"/>
      <c r="K25" s="68">
        <v>20</v>
      </c>
      <c r="L25" s="169"/>
      <c r="M25" s="68">
        <v>20</v>
      </c>
      <c r="N25" s="66"/>
      <c r="O25" s="25"/>
      <c r="P25" s="25"/>
      <c r="Q25" s="25">
        <f>R25*S25</f>
        <v>0</v>
      </c>
      <c r="R25" s="93">
        <v>1</v>
      </c>
      <c r="S25" s="92">
        <f t="shared" si="1"/>
        <v>0</v>
      </c>
      <c r="T25" s="31">
        <v>400</v>
      </c>
      <c r="U25" s="92">
        <v>0</v>
      </c>
      <c r="V25" s="75" t="s">
        <v>24</v>
      </c>
      <c r="W25" s="94" t="s">
        <v>21</v>
      </c>
    </row>
    <row r="26" spans="1:23" ht="12" customHeight="1">
      <c r="A26" s="165" t="s">
        <v>25</v>
      </c>
      <c r="B26" s="146"/>
      <c r="C26" s="32"/>
      <c r="D26" s="32"/>
      <c r="E26" s="33">
        <f>SUM(E8:E25)</f>
        <v>2440</v>
      </c>
      <c r="F26" s="32"/>
      <c r="G26" s="25">
        <f t="shared" ref="G26:I26" si="2">SUM(G8:G25)</f>
        <v>457.6</v>
      </c>
      <c r="H26" s="25">
        <f t="shared" si="2"/>
        <v>726.40000000000009</v>
      </c>
      <c r="I26" s="25">
        <f t="shared" si="2"/>
        <v>768</v>
      </c>
      <c r="J26" s="32"/>
      <c r="K26" s="69"/>
      <c r="L26" s="170"/>
      <c r="M26" s="69"/>
      <c r="N26" s="70"/>
      <c r="O26" s="25">
        <f t="shared" ref="O26:Q26" si="3">SUM(O8:O25)</f>
        <v>680</v>
      </c>
      <c r="P26" s="25">
        <f t="shared" si="3"/>
        <v>371.20000000000005</v>
      </c>
      <c r="Q26" s="25">
        <f t="shared" si="3"/>
        <v>278.40000000000003</v>
      </c>
      <c r="R26" s="27"/>
      <c r="S26" s="95">
        <f>SUM(S8:S25)</f>
        <v>1662</v>
      </c>
      <c r="T26" s="95"/>
      <c r="U26" s="34"/>
      <c r="V26" s="69"/>
      <c r="W26" s="96"/>
    </row>
    <row r="27" spans="1:23" ht="12" customHeight="1">
      <c r="A27" s="35" t="s">
        <v>41</v>
      </c>
      <c r="B27" s="32"/>
      <c r="C27" s="32"/>
      <c r="D27" s="32"/>
      <c r="E27" s="32"/>
      <c r="F27" s="32"/>
      <c r="G27" s="36"/>
      <c r="H27" s="36"/>
      <c r="I27" s="36"/>
      <c r="J27" s="32"/>
      <c r="K27" s="71"/>
      <c r="L27" s="71"/>
      <c r="M27" s="71" t="s">
        <v>206</v>
      </c>
      <c r="N27" s="70"/>
      <c r="O27" s="122"/>
      <c r="P27" s="122"/>
      <c r="Q27" s="122"/>
      <c r="R27" s="37"/>
      <c r="S27" s="71"/>
      <c r="T27" s="71"/>
      <c r="U27" s="37"/>
      <c r="V27" s="71"/>
      <c r="W27" s="96"/>
    </row>
    <row r="28" spans="1:23" ht="12" customHeight="1" thickBot="1">
      <c r="A28" s="166"/>
      <c r="B28" s="167"/>
      <c r="C28" s="38"/>
      <c r="D28" s="38"/>
      <c r="E28" s="38"/>
      <c r="F28" s="38"/>
      <c r="G28" s="39"/>
      <c r="H28" s="39"/>
      <c r="I28" s="36"/>
      <c r="J28" s="38"/>
      <c r="K28" s="72"/>
      <c r="L28" s="72"/>
      <c r="M28" s="72"/>
      <c r="N28" s="73"/>
      <c r="O28" s="123"/>
      <c r="P28" s="123"/>
      <c r="Q28" s="123"/>
      <c r="R28" s="72"/>
      <c r="S28" s="72"/>
      <c r="T28" s="72"/>
      <c r="U28" s="40"/>
      <c r="V28" s="72"/>
      <c r="W28" s="97"/>
    </row>
    <row r="29" spans="1:23" ht="12" customHeight="1" thickTop="1">
      <c r="A29" s="41"/>
      <c r="B29" s="42"/>
      <c r="C29" s="42"/>
      <c r="D29" s="42"/>
      <c r="E29" s="42"/>
      <c r="F29" s="42"/>
      <c r="G29" s="10"/>
      <c r="J29" s="42"/>
      <c r="N29" s="54"/>
      <c r="O29" s="124"/>
      <c r="P29" s="124"/>
      <c r="Q29" s="124"/>
      <c r="V29" s="151"/>
      <c r="W29" s="152"/>
    </row>
    <row r="30" spans="1:23" ht="12" customHeight="1">
      <c r="A30" s="43" t="s">
        <v>27</v>
      </c>
      <c r="B30" s="44"/>
      <c r="C30" s="44"/>
      <c r="D30" s="44"/>
      <c r="E30" s="44"/>
      <c r="F30" s="44"/>
      <c r="G30" s="45"/>
      <c r="H30" s="134"/>
      <c r="I30" s="153" t="s">
        <v>16</v>
      </c>
      <c r="J30" s="140"/>
      <c r="K30" s="153" t="s">
        <v>17</v>
      </c>
      <c r="L30" s="140"/>
      <c r="M30" s="153" t="s">
        <v>18</v>
      </c>
      <c r="N30" s="138"/>
      <c r="O30" s="140"/>
      <c r="P30" s="79"/>
      <c r="Q30" s="126"/>
      <c r="R30" s="20"/>
      <c r="S30" s="98" t="s">
        <v>28</v>
      </c>
      <c r="T30" s="98"/>
      <c r="U30" s="98"/>
      <c r="V30" s="20"/>
      <c r="W30" s="99"/>
    </row>
    <row r="31" spans="1:23" ht="12" customHeight="1">
      <c r="A31" s="46" t="s">
        <v>42</v>
      </c>
      <c r="G31" s="47" t="s">
        <v>29</v>
      </c>
      <c r="H31" s="135"/>
      <c r="I31" s="154">
        <f>G26+O26</f>
        <v>1137.5999999999999</v>
      </c>
      <c r="J31" s="146"/>
      <c r="K31" s="154">
        <f>H26+P26</f>
        <v>1097.6000000000001</v>
      </c>
      <c r="L31" s="178"/>
      <c r="M31" s="154">
        <f>I26+Q26</f>
        <v>1046.4000000000001</v>
      </c>
      <c r="N31" s="150"/>
      <c r="O31" s="146"/>
      <c r="P31" s="149"/>
      <c r="Q31" s="146"/>
      <c r="R31" s="20"/>
      <c r="S31" s="156" t="s">
        <v>43</v>
      </c>
      <c r="T31" s="157"/>
      <c r="U31" s="157"/>
      <c r="V31" s="157"/>
      <c r="W31" s="158"/>
    </row>
    <row r="32" spans="1:23" ht="12" customHeight="1">
      <c r="A32" s="6"/>
      <c r="G32" s="145" t="s">
        <v>31</v>
      </c>
      <c r="H32" s="146"/>
      <c r="I32" s="76"/>
      <c r="J32" s="77"/>
      <c r="K32" s="78"/>
      <c r="L32" s="77"/>
      <c r="M32" s="78"/>
      <c r="N32" s="2"/>
      <c r="O32" s="125"/>
      <c r="P32" s="147">
        <v>500</v>
      </c>
      <c r="Q32" s="146"/>
      <c r="R32" s="20"/>
      <c r="S32" s="100"/>
      <c r="T32" s="100"/>
      <c r="U32" s="100"/>
      <c r="V32" s="101"/>
      <c r="W32" s="96"/>
    </row>
    <row r="33" spans="1:23" ht="12" customHeight="1">
      <c r="A33" s="49" t="s">
        <v>32</v>
      </c>
      <c r="G33" s="47" t="s">
        <v>33</v>
      </c>
      <c r="H33" s="135"/>
      <c r="I33" s="79"/>
      <c r="J33" s="20"/>
      <c r="K33" s="75"/>
      <c r="L33" s="20"/>
      <c r="M33" s="75"/>
      <c r="N33" s="80"/>
      <c r="O33" s="126"/>
      <c r="P33" s="148">
        <f>I31+K31+M31+P32</f>
        <v>3781.6</v>
      </c>
      <c r="Q33" s="146"/>
      <c r="R33" s="20" t="s">
        <v>34</v>
      </c>
      <c r="S33" s="20"/>
      <c r="T33" s="20"/>
      <c r="U33" s="20"/>
      <c r="V33" s="101"/>
      <c r="W33" s="96"/>
    </row>
    <row r="34" spans="1:23" ht="12" customHeight="1">
      <c r="A34" s="6" t="s">
        <v>205</v>
      </c>
      <c r="G34" s="47" t="s">
        <v>35</v>
      </c>
      <c r="H34" s="135"/>
      <c r="I34" s="149"/>
      <c r="J34" s="146"/>
      <c r="K34" s="149"/>
      <c r="L34" s="146"/>
      <c r="M34" s="149"/>
      <c r="N34" s="150"/>
      <c r="O34" s="146"/>
      <c r="P34" s="147">
        <v>0.8</v>
      </c>
      <c r="Q34" s="146"/>
      <c r="R34" s="20" t="s">
        <v>36</v>
      </c>
      <c r="S34" s="20"/>
      <c r="T34" s="20"/>
      <c r="U34" s="20"/>
      <c r="V34" s="101"/>
      <c r="W34" s="96"/>
    </row>
    <row r="35" spans="1:23" ht="12" customHeight="1">
      <c r="A35" s="6"/>
      <c r="G35" s="137" t="s">
        <v>37</v>
      </c>
      <c r="H35" s="138"/>
      <c r="I35" s="138"/>
      <c r="J35" s="81"/>
      <c r="K35" s="82"/>
      <c r="L35" s="81"/>
      <c r="M35" s="82"/>
      <c r="N35" s="83"/>
      <c r="O35" s="127"/>
      <c r="P35" s="139">
        <f>P33/P34</f>
        <v>4727</v>
      </c>
      <c r="Q35" s="140"/>
      <c r="R35" s="81" t="s">
        <v>38</v>
      </c>
      <c r="S35" s="81"/>
      <c r="T35" s="81"/>
      <c r="U35" s="81"/>
      <c r="V35" s="102"/>
      <c r="W35" s="103"/>
    </row>
    <row r="36" spans="1:23" ht="12" customHeight="1" thickBot="1">
      <c r="A36" s="50"/>
      <c r="B36" s="51"/>
      <c r="C36" s="51"/>
      <c r="D36" s="51"/>
      <c r="E36" s="51"/>
      <c r="F36" s="51"/>
      <c r="G36" s="52" t="s">
        <v>39</v>
      </c>
      <c r="H36" s="136"/>
      <c r="I36" s="141"/>
      <c r="J36" s="142"/>
      <c r="K36" s="141"/>
      <c r="L36" s="142"/>
      <c r="M36" s="141"/>
      <c r="N36" s="143"/>
      <c r="O36" s="142"/>
      <c r="P36" s="144">
        <f>ROUNDUP(P33/575,1)</f>
        <v>6.6</v>
      </c>
      <c r="Q36" s="142"/>
      <c r="R36" s="104" t="s">
        <v>40</v>
      </c>
      <c r="S36" s="104"/>
      <c r="T36" s="104"/>
      <c r="U36" s="104"/>
      <c r="V36" s="105"/>
      <c r="W36" s="106"/>
    </row>
    <row r="37" spans="1:23" ht="12" customHeight="1">
      <c r="A37" s="9"/>
      <c r="G37" s="10"/>
      <c r="J37" s="42"/>
      <c r="N37" s="54"/>
      <c r="R37" s="29"/>
      <c r="W37" s="87"/>
    </row>
    <row r="38" spans="1:23" ht="12" customHeight="1" thickBot="1">
      <c r="A38" s="50"/>
      <c r="B38" s="51"/>
      <c r="C38" s="51"/>
      <c r="D38" s="51"/>
      <c r="E38" s="51"/>
      <c r="F38" s="51"/>
      <c r="G38" s="128"/>
      <c r="H38" s="128"/>
      <c r="I38" s="128"/>
      <c r="J38" s="51"/>
      <c r="K38" s="51"/>
      <c r="L38" s="51"/>
      <c r="M38" s="51"/>
      <c r="N38" s="51"/>
      <c r="O38" s="128"/>
      <c r="P38" s="128"/>
      <c r="Q38" s="128"/>
      <c r="R38" s="51"/>
      <c r="S38" s="51"/>
      <c r="T38" s="51"/>
      <c r="U38" s="51"/>
      <c r="V38" s="51"/>
      <c r="W38" s="107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 ht="12" customHeight="1">
      <c r="G49" s="10"/>
      <c r="J49" s="42"/>
      <c r="N49" s="54"/>
      <c r="R49" s="29"/>
    </row>
    <row r="50" spans="7:18" ht="12" customHeight="1">
      <c r="G50" s="10"/>
      <c r="J50" s="42"/>
      <c r="N50" s="54"/>
      <c r="R50" s="29"/>
    </row>
    <row r="51" spans="7:18" ht="12" customHeight="1">
      <c r="G51" s="10"/>
      <c r="J51" s="42"/>
      <c r="N51" s="54"/>
      <c r="R51" s="29"/>
    </row>
    <row r="52" spans="7:18" ht="12" customHeight="1">
      <c r="G52" s="10"/>
      <c r="J52" s="42"/>
      <c r="N52" s="54"/>
      <c r="R52" s="29"/>
    </row>
    <row r="53" spans="7:18" ht="12" customHeight="1">
      <c r="G53" s="10"/>
      <c r="J53" s="42"/>
      <c r="N53" s="54"/>
      <c r="R53" s="29"/>
    </row>
    <row r="54" spans="7:18" ht="12" customHeight="1">
      <c r="G54" s="10"/>
      <c r="J54" s="42"/>
      <c r="N54" s="54"/>
      <c r="R54" s="29"/>
    </row>
    <row r="55" spans="7:18" ht="12" customHeight="1">
      <c r="G55" s="10"/>
      <c r="J55" s="42"/>
      <c r="N55" s="54"/>
      <c r="R55" s="29"/>
    </row>
    <row r="56" spans="7:18" ht="12" customHeight="1">
      <c r="G56" s="10"/>
      <c r="J56" s="42"/>
      <c r="N56" s="54"/>
      <c r="R56" s="29"/>
    </row>
    <row r="57" spans="7:18" ht="12" customHeight="1">
      <c r="G57" s="10"/>
      <c r="J57" s="42"/>
      <c r="N57" s="54"/>
      <c r="R57" s="29"/>
    </row>
    <row r="58" spans="7:18" ht="12" customHeight="1">
      <c r="G58" s="10"/>
      <c r="J58" s="42"/>
      <c r="N58" s="54"/>
      <c r="R58" s="29"/>
    </row>
    <row r="59" spans="7:18" ht="12" customHeight="1">
      <c r="G59" s="10"/>
      <c r="J59" s="42"/>
      <c r="N59" s="54"/>
      <c r="R59" s="29"/>
    </row>
    <row r="60" spans="7:18" ht="12" customHeight="1">
      <c r="G60" s="10"/>
      <c r="J60" s="42"/>
      <c r="N60" s="54"/>
      <c r="R60" s="29"/>
    </row>
    <row r="61" spans="7:18" ht="12" customHeight="1">
      <c r="G61" s="10"/>
      <c r="J61" s="42"/>
      <c r="N61" s="54"/>
      <c r="R61" s="29"/>
    </row>
    <row r="62" spans="7:18" ht="12" customHeight="1">
      <c r="G62" s="10"/>
      <c r="J62" s="42"/>
      <c r="N62" s="54"/>
      <c r="R62" s="29"/>
    </row>
    <row r="63" spans="7:18" ht="12" customHeight="1">
      <c r="G63" s="10"/>
      <c r="J63" s="42"/>
      <c r="N63" s="54"/>
      <c r="R63" s="29"/>
    </row>
    <row r="64" spans="7:18" ht="12" customHeight="1">
      <c r="G64" s="10"/>
      <c r="J64" s="42"/>
      <c r="N64" s="54"/>
      <c r="R64" s="29"/>
    </row>
    <row r="65" spans="7:18" ht="12" customHeight="1">
      <c r="G65" s="10"/>
      <c r="J65" s="42"/>
      <c r="N65" s="54"/>
      <c r="R65" s="29"/>
    </row>
    <row r="66" spans="7:18" ht="12" customHeight="1">
      <c r="G66" s="10"/>
      <c r="J66" s="42"/>
      <c r="N66" s="54"/>
      <c r="R66" s="29"/>
    </row>
    <row r="67" spans="7:18" ht="12" customHeight="1">
      <c r="G67" s="10"/>
      <c r="J67" s="42"/>
      <c r="N67" s="54"/>
      <c r="R67" s="29"/>
    </row>
    <row r="68" spans="7:18" ht="12" customHeight="1">
      <c r="G68" s="10"/>
      <c r="J68" s="42"/>
      <c r="N68" s="54"/>
      <c r="R68" s="29"/>
    </row>
    <row r="69" spans="7:18" ht="12" customHeight="1">
      <c r="G69" s="10"/>
      <c r="J69" s="42"/>
      <c r="N69" s="54"/>
      <c r="R69" s="29"/>
    </row>
    <row r="70" spans="7:18" ht="12" customHeight="1">
      <c r="G70" s="10"/>
      <c r="J70" s="42"/>
      <c r="N70" s="54"/>
      <c r="R70" s="29"/>
    </row>
    <row r="71" spans="7:18" ht="12" customHeight="1">
      <c r="G71" s="10"/>
      <c r="J71" s="42"/>
      <c r="N71" s="54"/>
      <c r="R71" s="29"/>
    </row>
    <row r="72" spans="7:18" ht="12" customHeight="1">
      <c r="G72" s="10"/>
      <c r="J72" s="42"/>
      <c r="N72" s="54"/>
      <c r="R72" s="29"/>
    </row>
    <row r="73" spans="7:18" ht="12" customHeight="1">
      <c r="G73" s="10"/>
      <c r="J73" s="42"/>
      <c r="N73" s="54"/>
      <c r="R73" s="29"/>
    </row>
    <row r="74" spans="7:18" ht="12" customHeight="1">
      <c r="G74" s="10"/>
      <c r="J74" s="42"/>
      <c r="N74" s="54"/>
      <c r="R74" s="29"/>
    </row>
    <row r="75" spans="7:18" ht="12" customHeight="1">
      <c r="G75" s="10"/>
      <c r="J75" s="42"/>
      <c r="N75" s="54"/>
      <c r="R75" s="29"/>
    </row>
    <row r="76" spans="7:18" ht="12" customHeight="1">
      <c r="G76" s="10"/>
      <c r="J76" s="42"/>
      <c r="N76" s="54"/>
      <c r="R76" s="29"/>
    </row>
    <row r="77" spans="7:18" ht="12" customHeight="1">
      <c r="G77" s="10"/>
      <c r="J77" s="42"/>
      <c r="N77" s="54"/>
      <c r="R77" s="29"/>
    </row>
    <row r="78" spans="7:18" ht="12" customHeight="1">
      <c r="G78" s="10"/>
      <c r="J78" s="42"/>
      <c r="N78" s="54"/>
      <c r="R78" s="29"/>
    </row>
    <row r="79" spans="7:18" ht="12" customHeight="1">
      <c r="G79" s="10"/>
      <c r="J79" s="42"/>
      <c r="N79" s="54"/>
      <c r="R79" s="29"/>
    </row>
    <row r="80" spans="7:18" ht="12" customHeight="1">
      <c r="G80" s="10"/>
      <c r="J80" s="42"/>
      <c r="N80" s="54"/>
      <c r="R80" s="29"/>
    </row>
    <row r="81" spans="7:18" ht="12" customHeight="1">
      <c r="G81" s="10"/>
      <c r="J81" s="42"/>
      <c r="N81" s="54"/>
      <c r="R81" s="29"/>
    </row>
    <row r="82" spans="7:18" ht="12" customHeight="1">
      <c r="G82" s="10"/>
      <c r="J82" s="42"/>
      <c r="N82" s="54"/>
      <c r="R82" s="29"/>
    </row>
    <row r="83" spans="7:18" ht="12" customHeight="1">
      <c r="G83" s="10"/>
      <c r="J83" s="42"/>
      <c r="N83" s="54"/>
      <c r="R83" s="29"/>
    </row>
    <row r="84" spans="7:18" ht="12" customHeight="1">
      <c r="G84" s="10"/>
      <c r="J84" s="42"/>
      <c r="N84" s="54"/>
      <c r="R84" s="29"/>
    </row>
    <row r="85" spans="7:18" ht="12" customHeight="1">
      <c r="G85" s="10"/>
      <c r="J85" s="42"/>
      <c r="N85" s="54"/>
      <c r="R85" s="29"/>
    </row>
    <row r="86" spans="7:18" ht="12" customHeight="1">
      <c r="G86" s="10"/>
      <c r="J86" s="42"/>
      <c r="N86" s="54"/>
      <c r="R86" s="29"/>
    </row>
    <row r="87" spans="7:18" ht="12" customHeight="1">
      <c r="G87" s="10"/>
      <c r="J87" s="42"/>
      <c r="N87" s="54"/>
      <c r="R87" s="29"/>
    </row>
    <row r="88" spans="7:18" ht="12" customHeight="1">
      <c r="G88" s="10"/>
      <c r="J88" s="42"/>
      <c r="N88" s="54"/>
      <c r="R88" s="29"/>
    </row>
    <row r="89" spans="7:18" ht="12" customHeight="1">
      <c r="G89" s="10"/>
      <c r="J89" s="42"/>
      <c r="N89" s="54"/>
      <c r="R89" s="29"/>
    </row>
    <row r="90" spans="7:18" ht="12" customHeight="1">
      <c r="G90" s="10"/>
      <c r="J90" s="42"/>
      <c r="N90" s="54"/>
      <c r="R90" s="29"/>
    </row>
    <row r="91" spans="7:18" ht="12" customHeight="1">
      <c r="G91" s="10"/>
      <c r="J91" s="42"/>
      <c r="N91" s="54"/>
      <c r="R91" s="29"/>
    </row>
    <row r="92" spans="7:18" ht="12" customHeight="1">
      <c r="G92" s="10"/>
      <c r="J92" s="42"/>
      <c r="N92" s="54"/>
      <c r="R92" s="29"/>
    </row>
    <row r="93" spans="7:18" ht="12" customHeight="1">
      <c r="G93" s="10"/>
      <c r="J93" s="42"/>
      <c r="N93" s="54"/>
      <c r="R93" s="29"/>
    </row>
    <row r="94" spans="7:18" ht="12" customHeight="1">
      <c r="G94" s="10"/>
      <c r="J94" s="42"/>
      <c r="N94" s="54"/>
      <c r="R94" s="29"/>
    </row>
    <row r="95" spans="7:18" ht="12" customHeight="1">
      <c r="G95" s="10"/>
      <c r="J95" s="42"/>
      <c r="N95" s="54"/>
      <c r="R95" s="29"/>
    </row>
    <row r="96" spans="7:18" ht="12" customHeight="1">
      <c r="G96" s="10"/>
      <c r="J96" s="42"/>
      <c r="N96" s="54"/>
      <c r="R96" s="29"/>
    </row>
    <row r="97" spans="7:18" ht="12" customHeight="1">
      <c r="G97" s="10"/>
      <c r="J97" s="42"/>
      <c r="N97" s="54"/>
      <c r="R97" s="29"/>
    </row>
    <row r="98" spans="7:18" ht="12" customHeight="1">
      <c r="G98" s="10"/>
      <c r="J98" s="42"/>
      <c r="N98" s="54"/>
      <c r="R98" s="29"/>
    </row>
    <row r="99" spans="7:18" ht="12" customHeight="1">
      <c r="G99" s="10"/>
      <c r="J99" s="42"/>
      <c r="N99" s="54"/>
      <c r="R99" s="29"/>
    </row>
    <row r="100" spans="7:18" ht="12" customHeight="1">
      <c r="G100" s="10"/>
      <c r="J100" s="42"/>
      <c r="N100" s="54"/>
      <c r="R100" s="29"/>
    </row>
  </sheetData>
  <mergeCells count="33">
    <mergeCell ref="M31:O31"/>
    <mergeCell ref="P31:Q31"/>
    <mergeCell ref="I31:J31"/>
    <mergeCell ref="K31:L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G32:H32"/>
    <mergeCell ref="P32:Q32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L8:L26"/>
    <mergeCell ref="A26:B26"/>
    <mergeCell ref="A28:B28"/>
  </mergeCells>
  <phoneticPr fontId="15" type="noConversion"/>
  <pageMargins left="0.74803149606299202" right="0.74803149606299202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DB-A</vt:lpstr>
      <vt:lpstr>DB-B</vt:lpstr>
      <vt:lpstr>DB-C</vt:lpstr>
      <vt:lpstr>DB-D</vt:lpstr>
      <vt:lpstr>DB-E</vt:lpstr>
      <vt:lpstr>DB-G</vt:lpstr>
      <vt:lpstr>DB-H</vt:lpstr>
      <vt:lpstr>DB-J</vt:lpstr>
      <vt:lpstr>DB-K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Somadina Okoye</cp:lastModifiedBy>
  <dcterms:created xsi:type="dcterms:W3CDTF">2024-04-30T16:57:00Z</dcterms:created>
  <dcterms:modified xsi:type="dcterms:W3CDTF">2025-08-15T15:41:13Z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C1738A70A9D14C3EB70A208AA8CE9590_13</vt:lpwstr>
  </property>
  <property fmtid="{D5CDD505-2E9C-101B-9397-08002B2CF9AE}" pid="3" name="KSOProductBuildVer">
    <vt:lpwstr>1033-12.2.0.20326</vt:lpwstr>
  </property>
</Properties>
</file>