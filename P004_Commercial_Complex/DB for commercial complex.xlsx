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okoye\Downloads\Light Design\"/>
    </mc:Choice>
  </mc:AlternateContent>
  <xr:revisionPtr revIDLastSave="0" documentId="13_ncr:1_{B88D04F8-F515-473D-9864-A684A6CF551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B-A" sheetId="1" r:id="rId1"/>
    <sheet name="DB-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2" l="1"/>
  <c r="Q13" i="2" s="1"/>
  <c r="S8" i="2"/>
  <c r="O8" i="2" s="1"/>
  <c r="S16" i="2"/>
  <c r="Q16" i="2"/>
  <c r="S12" i="2"/>
  <c r="P12" i="2" s="1"/>
  <c r="S11" i="2"/>
  <c r="O11" i="2" s="1"/>
  <c r="E16" i="2"/>
  <c r="I16" i="2" s="1"/>
  <c r="E15" i="2"/>
  <c r="H15" i="2" s="1"/>
  <c r="E12" i="2"/>
  <c r="H12" i="2" s="1"/>
  <c r="E13" i="2"/>
  <c r="I13" i="2" s="1"/>
  <c r="E11" i="2"/>
  <c r="G11" i="2" s="1"/>
  <c r="S10" i="2"/>
  <c r="Q10" i="2" s="1"/>
  <c r="E14" i="1"/>
  <c r="G14" i="1" s="1"/>
  <c r="S14" i="1"/>
  <c r="O14" i="1" s="1"/>
  <c r="S13" i="1"/>
  <c r="Q13" i="1" s="1"/>
  <c r="S12" i="1"/>
  <c r="P12" i="1" s="1"/>
  <c r="S11" i="1"/>
  <c r="O11" i="1"/>
  <c r="E15" i="1"/>
  <c r="H15" i="1" s="1"/>
  <c r="E13" i="1"/>
  <c r="I13" i="1" s="1"/>
  <c r="E12" i="1"/>
  <c r="H12" i="1" s="1"/>
  <c r="E11" i="1"/>
  <c r="G11" i="1" s="1"/>
  <c r="S16" i="1"/>
  <c r="Q16" i="1"/>
  <c r="S15" i="1"/>
  <c r="P15" i="1"/>
  <c r="S8" i="1"/>
  <c r="O8" i="1"/>
  <c r="S25" i="2" l="1"/>
  <c r="Q25" i="2"/>
  <c r="E25" i="2"/>
  <c r="I25" i="2" s="1"/>
  <c r="S24" i="2"/>
  <c r="P24" i="2"/>
  <c r="E24" i="2"/>
  <c r="H24" i="2" s="1"/>
  <c r="S23" i="2"/>
  <c r="O23" i="2"/>
  <c r="E23" i="2"/>
  <c r="G23" i="2" s="1"/>
  <c r="S22" i="2"/>
  <c r="Q22" i="2"/>
  <c r="E22" i="2"/>
  <c r="I22" i="2" s="1"/>
  <c r="S21" i="2"/>
  <c r="P21" i="2"/>
  <c r="E21" i="2"/>
  <c r="H21" i="2" s="1"/>
  <c r="S20" i="2"/>
  <c r="O20" i="2"/>
  <c r="E20" i="2"/>
  <c r="G20" i="2" s="1"/>
  <c r="S19" i="2"/>
  <c r="Q19" i="2"/>
  <c r="E19" i="2"/>
  <c r="I19" i="2" s="1"/>
  <c r="S18" i="2"/>
  <c r="P18" i="2"/>
  <c r="E18" i="2"/>
  <c r="H18" i="2" s="1"/>
  <c r="S17" i="2"/>
  <c r="O17" i="2"/>
  <c r="E17" i="2"/>
  <c r="G17" i="2" s="1"/>
  <c r="S15" i="2"/>
  <c r="P15" i="2"/>
  <c r="S14" i="2"/>
  <c r="O14" i="2"/>
  <c r="E14" i="2"/>
  <c r="G14" i="2" s="1"/>
  <c r="E10" i="2"/>
  <c r="I10" i="2" s="1"/>
  <c r="S9" i="2"/>
  <c r="P9" i="2" s="1"/>
  <c r="E9" i="2"/>
  <c r="H9" i="2" s="1"/>
  <c r="E8" i="2"/>
  <c r="G8" i="2" s="1"/>
  <c r="S25" i="1"/>
  <c r="Q25" i="1"/>
  <c r="I25" i="1"/>
  <c r="E25" i="1"/>
  <c r="S24" i="1"/>
  <c r="P24" i="1"/>
  <c r="H24" i="1"/>
  <c r="E24" i="1"/>
  <c r="S23" i="1"/>
  <c r="O23" i="1"/>
  <c r="G23" i="1"/>
  <c r="E23" i="1"/>
  <c r="S22" i="1"/>
  <c r="Q22" i="1"/>
  <c r="I22" i="1"/>
  <c r="E22" i="1"/>
  <c r="S21" i="1"/>
  <c r="P21" i="1"/>
  <c r="H21" i="1"/>
  <c r="E21" i="1"/>
  <c r="S20" i="1"/>
  <c r="O20" i="1"/>
  <c r="G20" i="1"/>
  <c r="E20" i="1"/>
  <c r="S19" i="1"/>
  <c r="Q19" i="1"/>
  <c r="I19" i="1"/>
  <c r="E19" i="1"/>
  <c r="S18" i="1"/>
  <c r="P18" i="1"/>
  <c r="H18" i="1"/>
  <c r="E18" i="1"/>
  <c r="S17" i="1"/>
  <c r="O17" i="1"/>
  <c r="G17" i="1"/>
  <c r="E17" i="1"/>
  <c r="E16" i="1"/>
  <c r="I16" i="1" s="1"/>
  <c r="S10" i="1"/>
  <c r="Q10" i="1" s="1"/>
  <c r="E10" i="1"/>
  <c r="I10" i="1" s="1"/>
  <c r="S9" i="1"/>
  <c r="P9" i="1" s="1"/>
  <c r="E9" i="1"/>
  <c r="H9" i="1" s="1"/>
  <c r="E8" i="1"/>
  <c r="G8" i="1" s="1"/>
  <c r="I26" i="2" l="1"/>
  <c r="Q26" i="2"/>
  <c r="O26" i="2"/>
  <c r="G26" i="2"/>
  <c r="H26" i="1"/>
  <c r="P26" i="2"/>
  <c r="H26" i="2"/>
  <c r="S26" i="2"/>
  <c r="E26" i="2"/>
  <c r="Q26" i="1"/>
  <c r="I26" i="1"/>
  <c r="P26" i="1"/>
  <c r="O26" i="1"/>
  <c r="G26" i="1"/>
  <c r="S26" i="1"/>
  <c r="E26" i="1"/>
  <c r="K31" i="1" l="1"/>
  <c r="M31" i="2"/>
  <c r="I31" i="2"/>
  <c r="K31" i="2"/>
  <c r="M31" i="1"/>
  <c r="I31" i="1"/>
  <c r="P33" i="2" l="1"/>
  <c r="P35" i="2" s="1"/>
  <c r="P33" i="1"/>
  <c r="P35" i="1" s="1"/>
  <c r="P36" i="2" l="1"/>
  <c r="P36" i="1"/>
</calcChain>
</file>

<file path=xl/sharedStrings.xml><?xml version="1.0" encoding="utf-8"?>
<sst xmlns="http://schemas.openxmlformats.org/spreadsheetml/2006/main" count="254" uniqueCount="77">
  <si>
    <t>Location:</t>
  </si>
  <si>
    <t>Type:</t>
  </si>
  <si>
    <t>Voltage &amp; Freq.:</t>
  </si>
  <si>
    <t>230/400V, 50Hz</t>
  </si>
  <si>
    <t>DB Ref.:</t>
  </si>
  <si>
    <t>Cable Length(m) to ControlPanel</t>
  </si>
  <si>
    <t>Fed from</t>
  </si>
  <si>
    <t>DESIGNATION OF LOAD</t>
  </si>
  <si>
    <r>
      <rPr>
        <b/>
        <sz val="8"/>
        <rFont val="Arial"/>
        <charset val="134"/>
      </rPr>
      <t>CABLE SIZE (mm</t>
    </r>
    <r>
      <rPr>
        <b/>
        <vertAlign val="superscript"/>
        <sz val="8"/>
        <rFont val="Arial"/>
        <charset val="134"/>
      </rPr>
      <t>2</t>
    </r>
    <r>
      <rPr>
        <b/>
        <sz val="8"/>
        <rFont val="Arial"/>
        <charset val="134"/>
      </rPr>
      <t>)</t>
    </r>
  </si>
  <si>
    <t>No of points</t>
  </si>
  <si>
    <t>Watts per point</t>
  </si>
  <si>
    <t>Peak Load</t>
  </si>
  <si>
    <t>Diversity Factor</t>
  </si>
  <si>
    <t>PHASE LOAD IN WATTS</t>
  </si>
  <si>
    <t>TRIP RATING</t>
  </si>
  <si>
    <t>R</t>
  </si>
  <si>
    <t>Y</t>
  </si>
  <si>
    <t>B</t>
  </si>
  <si>
    <t>2 x 1.5</t>
  </si>
  <si>
    <t>3 x 2.5</t>
  </si>
  <si>
    <t>SPARE</t>
  </si>
  <si>
    <t>3 x 4.0</t>
  </si>
  <si>
    <t>3 x 6.0</t>
  </si>
  <si>
    <t>3x 4.0</t>
  </si>
  <si>
    <t xml:space="preserve">                                       SUB-TOTALS </t>
  </si>
  <si>
    <t>* RING MAIN FINAL SUB-CIRCUITS</t>
  </si>
  <si>
    <t>100A MCB; 300mA</t>
  </si>
  <si>
    <t>DB LOAD CABLE SIZE:</t>
  </si>
  <si>
    <t>EARTH WIRE SIZE:</t>
  </si>
  <si>
    <r>
      <rPr>
        <b/>
        <sz val="8"/>
        <rFont val="Arial"/>
        <charset val="134"/>
      </rPr>
      <t>4C x 4mm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</si>
  <si>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t>CONNECTED (W)</t>
  </si>
  <si>
    <r>
      <rPr>
        <b/>
        <sz val="8"/>
        <rFont val="Arial"/>
        <charset val="134"/>
      </rPr>
      <t>1 x 4mm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</si>
  <si>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>SPARE(W)</t>
  </si>
  <si>
    <t>DB ISOLATOR TYPE:</t>
  </si>
  <si>
    <t>TOTAL CONNECTED (W)</t>
  </si>
  <si>
    <t>W</t>
  </si>
  <si>
    <t>100A TP&amp;N MCCB; 300mA</t>
  </si>
  <si>
    <t>POWER FACTOR</t>
  </si>
  <si>
    <r>
      <rPr>
        <sz val="8"/>
        <rFont val="Arial"/>
        <charset val="134"/>
      </rPr>
      <t xml:space="preserve">Cos </t>
    </r>
    <r>
      <rPr>
        <sz val="8"/>
        <rFont val="Calibri"/>
        <charset val="134"/>
      </rPr>
      <t>ф</t>
    </r>
  </si>
  <si>
    <t>TOTAL CONNECTED (VA)</t>
  </si>
  <si>
    <t>VA</t>
  </si>
  <si>
    <t>CURRENT (A)</t>
  </si>
  <si>
    <t>A</t>
  </si>
  <si>
    <t>* RING MAIN FINBL SUB-CIRCUITS</t>
  </si>
  <si>
    <r>
      <rPr>
        <b/>
        <sz val="8"/>
        <rFont val="Arial"/>
        <charset val="134"/>
      </rPr>
      <t>4C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PVC/PVC COPPER CABLE</t>
    </r>
  </si>
  <si>
    <r>
      <rPr>
        <b/>
        <sz val="8"/>
        <rFont val="Arial"/>
        <charset val="134"/>
      </rPr>
      <t>1 x 6mm</t>
    </r>
    <r>
      <rPr>
        <b/>
        <sz val="14"/>
        <rFont val="Calibri"/>
        <charset val="134"/>
      </rPr>
      <t>²</t>
    </r>
    <r>
      <rPr>
        <b/>
        <sz val="8"/>
        <rFont val="Arial"/>
        <charset val="134"/>
      </rPr>
      <t xml:space="preserve"> PVC SINGLE CORE COPPER CABLE</t>
    </r>
  </si>
  <si>
    <t>GROUND FLOOR DISTRIBUTION BOARD (DB-A)</t>
  </si>
  <si>
    <t>DB-A</t>
  </si>
  <si>
    <t>AL1 - LIGHTING</t>
  </si>
  <si>
    <t>AL2 - LIGHTING</t>
  </si>
  <si>
    <t>AL3 - LIGHTING</t>
  </si>
  <si>
    <t>AL4 - LIGHTING</t>
  </si>
  <si>
    <t>AL5 - LIGHTING</t>
  </si>
  <si>
    <t>AL6 - LIGHTING</t>
  </si>
  <si>
    <t>AS1 - 13A SOCKET OUTLET</t>
  </si>
  <si>
    <t>AS2 - 13A SOCKET OUTLET</t>
  </si>
  <si>
    <t>AS3 - 13A SOCKET OUTLET</t>
  </si>
  <si>
    <t>AS4 - 13A SOCKET OUTLET</t>
  </si>
  <si>
    <t>AS5 - 13A SOCKET OUTLET</t>
  </si>
  <si>
    <t>AS6 - 13A SOCKET OUTLET</t>
  </si>
  <si>
    <t>GROUND FLOOR DISTRIBUTION BOARD (DB-B)</t>
  </si>
  <si>
    <t>DB-B</t>
  </si>
  <si>
    <t>BAC1 - 20A SWITCH OUTLET</t>
  </si>
  <si>
    <t>BAC3 - 20A SWITCH OUTLET</t>
  </si>
  <si>
    <t>BAC5 - 20A SWITCH OUTLET</t>
  </si>
  <si>
    <t>BAC2 - 20A SWITCH OUTLET</t>
  </si>
  <si>
    <t>BAC4 - 20A SWITCH OUTLET</t>
  </si>
  <si>
    <t>BAC6 - 20A SWITCH OUTLET</t>
  </si>
  <si>
    <t>BP1 - 15A POWER SOCKET</t>
  </si>
  <si>
    <t>BP2 - 15A POWER SOCKET</t>
  </si>
  <si>
    <t>B-CCU1 - COOKER UNIT</t>
  </si>
  <si>
    <t>BP3 - 15A POWER SOCKET</t>
  </si>
  <si>
    <t>BP4 - 15A POWER SOCKET</t>
  </si>
  <si>
    <t>POWER HOUSE</t>
  </si>
  <si>
    <t>MDP</t>
  </si>
  <si>
    <t xml:space="preserve">100A 6-WAYS TP&amp;N MCB DISTRIBUTION BOARD (ABB) OR SCHNEIDER ELECTRIC </t>
  </si>
  <si>
    <t>B-CCU2 - COOKER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</si>
</sst>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>
    <font>
      <sz val="10"/>
      <color rgb="FF000000"/>
      <name val="Calibri"/>
      <charset val="134"/>
      <scheme val="minor"/>
    </font>
    <font>
      <b/>
      <sz val="12"/>
      <name val="Arial"/>
      <charset val="134"/>
    </font>
    <font>
      <sz val="10"/>
      <name val="Calibri"/>
      <charset val="134"/>
      <scheme val="minor"/>
    </font>
    <font>
      <b/>
      <sz val="8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i/>
      <sz val="8"/>
      <name val="Arial"/>
      <charset val="134"/>
    </font>
    <font>
      <b/>
      <vertAlign val="superscript"/>
      <sz val="8"/>
      <name val="Arial"/>
      <charset val="134"/>
    </font>
    <font>
      <b/>
      <i/>
      <sz val="8"/>
      <name val="Arial"/>
      <charset val="134"/>
    </font>
    <font>
      <b/>
      <sz val="14"/>
      <name val="Calibri"/>
      <charset val="134"/>
    </font>
    <font>
      <sz val="8"/>
      <name val="Calibri"/>
      <charset val="134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medium">
        <color rgb="FF000000"/>
      </left>
      <right style="hair">
        <color indexed="64"/>
      </right>
      <top style="thin">
        <color rgb="FF000000"/>
      </top>
      <bottom/>
      <diagonal/>
    </border>
    <border>
      <left style="medium">
        <color rgb="FF000000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 applyFont="1" applyAlignment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2" fontId="3" fillId="0" borderId="5" xfId="0" applyNumberFormat="1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2" fontId="3" fillId="0" borderId="0" xfId="0" applyNumberFormat="1" applyFont="1"/>
    <xf numFmtId="0" fontId="4" fillId="0" borderId="6" xfId="0" applyFont="1" applyBorder="1"/>
    <xf numFmtId="2" fontId="4" fillId="0" borderId="0" xfId="0" applyNumberFormat="1" applyFont="1"/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2" fontId="3" fillId="0" borderId="15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6" xfId="0" applyFont="1" applyBorder="1"/>
    <xf numFmtId="0" fontId="5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" fontId="5" fillId="0" borderId="17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0" fontId="5" fillId="0" borderId="19" xfId="0" applyFont="1" applyBorder="1"/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1" fontId="5" fillId="0" borderId="18" xfId="0" applyNumberFormat="1" applyFont="1" applyBorder="1" applyAlignment="1">
      <alignment horizontal="left"/>
    </xf>
    <xf numFmtId="1" fontId="5" fillId="0" borderId="18" xfId="0" applyNumberFormat="1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2" fontId="4" fillId="0" borderId="18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2" fontId="4" fillId="0" borderId="2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24" xfId="0" applyFont="1" applyBorder="1"/>
    <xf numFmtId="0" fontId="4" fillId="0" borderId="7" xfId="0" applyFont="1" applyBorder="1"/>
    <xf numFmtId="2" fontId="4" fillId="0" borderId="25" xfId="0" applyNumberFormat="1" applyFont="1" applyBorder="1"/>
    <xf numFmtId="0" fontId="3" fillId="0" borderId="6" xfId="0" applyFont="1" applyBorder="1" applyAlignment="1">
      <alignment vertical="center"/>
    </xf>
    <xf numFmtId="2" fontId="5" fillId="0" borderId="18" xfId="0" applyNumberFormat="1" applyFont="1" applyBorder="1"/>
    <xf numFmtId="0" fontId="5" fillId="0" borderId="4" xfId="0" applyFont="1" applyBorder="1"/>
    <xf numFmtId="0" fontId="6" fillId="0" borderId="6" xfId="0" applyFont="1" applyBorder="1"/>
    <xf numFmtId="0" fontId="4" fillId="0" borderId="28" xfId="0" applyFont="1" applyBorder="1"/>
    <xf numFmtId="0" fontId="4" fillId="0" borderId="29" xfId="0" applyFont="1" applyBorder="1"/>
    <xf numFmtId="2" fontId="5" fillId="0" borderId="30" xfId="0" applyNumberFormat="1" applyFont="1" applyBorder="1"/>
    <xf numFmtId="0" fontId="5" fillId="0" borderId="29" xfId="0" applyFont="1" applyBorder="1"/>
    <xf numFmtId="0" fontId="5" fillId="0" borderId="0" xfId="0" applyFont="1" applyAlignment="1">
      <alignment horizontal="right"/>
    </xf>
    <xf numFmtId="0" fontId="3" fillId="0" borderId="26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0" fontId="5" fillId="0" borderId="35" xfId="0" applyFont="1" applyBorder="1" applyAlignment="1">
      <alignment horizontal="left" vertical="top"/>
    </xf>
    <xf numFmtId="0" fontId="3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/>
    </xf>
    <xf numFmtId="0" fontId="5" fillId="0" borderId="36" xfId="0" applyFont="1" applyBorder="1" applyAlignment="1">
      <alignment horizontal="center" vertical="top"/>
    </xf>
    <xf numFmtId="0" fontId="3" fillId="0" borderId="3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7" fillId="0" borderId="17" xfId="0" applyFont="1" applyBorder="1" applyAlignment="1">
      <alignment horizontal="center" vertical="top"/>
    </xf>
    <xf numFmtId="0" fontId="5" fillId="0" borderId="17" xfId="0" applyFont="1" applyBorder="1" applyAlignment="1">
      <alignment horizontal="right"/>
    </xf>
    <xf numFmtId="0" fontId="7" fillId="0" borderId="18" xfId="0" applyFont="1" applyBorder="1" applyAlignment="1">
      <alignment horizontal="center" vertical="top"/>
    </xf>
    <xf numFmtId="0" fontId="7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8" xfId="0" applyFont="1" applyBorder="1" applyAlignment="1">
      <alignment horizontal="right"/>
    </xf>
    <xf numFmtId="0" fontId="4" fillId="0" borderId="18" xfId="0" applyFont="1" applyBorder="1"/>
    <xf numFmtId="0" fontId="4" fillId="0" borderId="23" xfId="0" applyFont="1" applyBorder="1"/>
    <xf numFmtId="0" fontId="5" fillId="0" borderId="23" xfId="0" applyFont="1" applyBorder="1" applyAlignment="1">
      <alignment horizontal="right"/>
    </xf>
    <xf numFmtId="0" fontId="4" fillId="0" borderId="17" xfId="0" applyFont="1" applyBorder="1"/>
    <xf numFmtId="0" fontId="5" fillId="0" borderId="26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/>
    <xf numFmtId="0" fontId="3" fillId="0" borderId="45" xfId="0" applyFont="1" applyBorder="1"/>
    <xf numFmtId="0" fontId="3" fillId="0" borderId="46" xfId="0" applyFont="1" applyBorder="1"/>
    <xf numFmtId="0" fontId="4" fillId="0" borderId="45" xfId="0" applyFont="1" applyBorder="1"/>
    <xf numFmtId="0" fontId="3" fillId="0" borderId="47" xfId="0" applyFont="1" applyBorder="1" applyAlignment="1">
      <alignment vertical="top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8" xfId="0" applyFont="1" applyBorder="1" applyAlignment="1">
      <alignment vertical="top"/>
    </xf>
    <xf numFmtId="1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0" fontId="5" fillId="0" borderId="45" xfId="0" applyFont="1" applyBorder="1"/>
    <xf numFmtId="1" fontId="5" fillId="0" borderId="18" xfId="0" applyNumberFormat="1" applyFont="1" applyBorder="1"/>
    <xf numFmtId="0" fontId="5" fillId="0" borderId="49" xfId="0" applyFont="1" applyBorder="1"/>
    <xf numFmtId="0" fontId="4" fillId="0" borderId="50" xfId="0" applyFont="1" applyBorder="1"/>
    <xf numFmtId="0" fontId="6" fillId="0" borderId="5" xfId="0" applyFont="1" applyBorder="1" applyAlignment="1">
      <alignment horizontal="left"/>
    </xf>
    <xf numFmtId="0" fontId="5" fillId="0" borderId="49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/>
    <xf numFmtId="0" fontId="5" fillId="0" borderId="40" xfId="0" applyFont="1" applyBorder="1"/>
    <xf numFmtId="0" fontId="5" fillId="0" borderId="51" xfId="0" applyFont="1" applyBorder="1"/>
    <xf numFmtId="0" fontId="5" fillId="0" borderId="43" xfId="0" applyFont="1" applyBorder="1" applyAlignment="1">
      <alignment horizontal="center"/>
    </xf>
    <xf numFmtId="0" fontId="5" fillId="0" borderId="30" xfId="0" applyFont="1" applyBorder="1"/>
    <xf numFmtId="0" fontId="5" fillId="0" borderId="52" xfId="0" applyFont="1" applyBorder="1"/>
    <xf numFmtId="0" fontId="4" fillId="0" borderId="53" xfId="0" applyFont="1" applyBorder="1"/>
    <xf numFmtId="0" fontId="5" fillId="0" borderId="6" xfId="0" applyFont="1" applyBorder="1" applyAlignment="1"/>
    <xf numFmtId="0" fontId="5" fillId="0" borderId="16" xfId="0" applyFont="1" applyBorder="1" applyAlignment="1"/>
    <xf numFmtId="0" fontId="3" fillId="0" borderId="4" xfId="0" applyFont="1" applyBorder="1" applyAlignment="1"/>
    <xf numFmtId="0" fontId="5" fillId="0" borderId="51" xfId="0" applyFont="1" applyBorder="1" applyAlignment="1"/>
    <xf numFmtId="0" fontId="3" fillId="0" borderId="55" xfId="0" applyFont="1" applyBorder="1"/>
    <xf numFmtId="0" fontId="3" fillId="0" borderId="54" xfId="0" applyFont="1" applyBorder="1"/>
    <xf numFmtId="0" fontId="5" fillId="0" borderId="56" xfId="0" applyFont="1" applyBorder="1" applyAlignment="1">
      <alignment horizontal="center"/>
    </xf>
    <xf numFmtId="0" fontId="5" fillId="0" borderId="57" xfId="0" applyFont="1" applyBorder="1" applyAlignment="1"/>
    <xf numFmtId="0" fontId="5" fillId="0" borderId="57" xfId="0" applyFont="1" applyBorder="1"/>
    <xf numFmtId="0" fontId="5" fillId="0" borderId="26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5" fillId="0" borderId="59" xfId="0" applyFont="1" applyBorder="1"/>
    <xf numFmtId="0" fontId="5" fillId="0" borderId="60" xfId="0" applyFont="1" applyBorder="1"/>
    <xf numFmtId="0" fontId="5" fillId="0" borderId="60" xfId="0" applyFont="1" applyBorder="1" applyAlignment="1">
      <alignment vertical="center"/>
    </xf>
    <xf numFmtId="0" fontId="5" fillId="0" borderId="61" xfId="0" applyFont="1" applyBorder="1"/>
    <xf numFmtId="2" fontId="5" fillId="0" borderId="27" xfId="0" applyNumberFormat="1" applyFont="1" applyBorder="1" applyAlignment="1">
      <alignment horizontal="left"/>
    </xf>
    <xf numFmtId="0" fontId="2" fillId="0" borderId="7" xfId="0" applyFont="1" applyBorder="1"/>
    <xf numFmtId="0" fontId="3" fillId="0" borderId="27" xfId="0" applyFont="1" applyBorder="1" applyAlignment="1">
      <alignment horizontal="center"/>
    </xf>
    <xf numFmtId="0" fontId="2" fillId="0" borderId="39" xfId="0" applyFont="1" applyBorder="1"/>
    <xf numFmtId="0" fontId="5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29" xfId="0" applyFont="1" applyBorder="1"/>
    <xf numFmtId="0" fontId="3" fillId="0" borderId="42" xfId="0" applyFont="1" applyBorder="1" applyAlignment="1">
      <alignment horizontal="center"/>
    </xf>
    <xf numFmtId="2" fontId="5" fillId="0" borderId="26" xfId="0" applyNumberFormat="1" applyFont="1" applyBorder="1" applyAlignment="1">
      <alignment horizontal="left"/>
    </xf>
    <xf numFmtId="0" fontId="2" fillId="0" borderId="5" xfId="0" applyFont="1" applyBorder="1"/>
    <xf numFmtId="0" fontId="3" fillId="0" borderId="26" xfId="0" applyFont="1" applyBorder="1" applyAlignment="1">
      <alignment horizontal="center"/>
    </xf>
    <xf numFmtId="2" fontId="8" fillId="0" borderId="26" xfId="0" applyNumberFormat="1" applyFont="1" applyBorder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2" fillId="0" borderId="4" xfId="0" applyFont="1" applyBorder="1"/>
    <xf numFmtId="0" fontId="5" fillId="0" borderId="0" xfId="0" applyFont="1" applyAlignment="1">
      <alignment horizontal="center"/>
    </xf>
    <xf numFmtId="0" fontId="2" fillId="0" borderId="45" xfId="0" applyFont="1" applyBorder="1"/>
    <xf numFmtId="0" fontId="5" fillId="0" borderId="27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3" fillId="0" borderId="10" xfId="0" applyFont="1" applyBorder="1" applyAlignment="1">
      <alignment horizontal="center" vertical="top"/>
    </xf>
    <xf numFmtId="0" fontId="2" fillId="0" borderId="11" xfId="0" applyFont="1" applyBorder="1"/>
    <xf numFmtId="0" fontId="2" fillId="0" borderId="31" xfId="0" applyFont="1" applyBorder="1"/>
    <xf numFmtId="0" fontId="3" fillId="0" borderId="32" xfId="0" applyFont="1" applyBorder="1" applyAlignment="1">
      <alignment horizontal="center" vertical="top" wrapText="1"/>
    </xf>
    <xf numFmtId="0" fontId="2" fillId="0" borderId="33" xfId="0" applyFont="1" applyBorder="1"/>
    <xf numFmtId="0" fontId="2" fillId="0" borderId="34" xfId="0" applyFont="1" applyBorder="1"/>
    <xf numFmtId="0" fontId="5" fillId="0" borderId="3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0" borderId="22" xfId="0" applyFont="1" applyBorder="1"/>
    <xf numFmtId="0" fontId="3" fillId="0" borderId="38" xfId="0" applyFont="1" applyBorder="1" applyAlignment="1">
      <alignment horizontal="center"/>
    </xf>
    <xf numFmtId="0" fontId="2" fillId="0" borderId="38" xfId="0" applyFont="1" applyBorder="1"/>
    <xf numFmtId="0" fontId="2" fillId="0" borderId="17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261735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271260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261735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6261735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261735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6261735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6261735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6261735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6261735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6261735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261735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6261735" y="3219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6261735" y="3371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6261735" y="35242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6261735" y="36766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261735" y="38290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6261735" y="3981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6261735" y="4133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637032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651319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670369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341745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494145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665595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351270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494145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6665595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351270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94145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665595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351270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494145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665595" y="32004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360795" y="3352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6494145" y="35147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675120" y="36576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360795" y="38100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503670" y="39719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675120" y="4114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63703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 flipV="1">
          <a:off x="65227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694170" y="44386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6275070" y="43719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5400000">
          <a:off x="6336665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rot="5400000">
          <a:off x="6489065" y="4309745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5400000">
          <a:off x="6631940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rot="10800000" flipH="1" flipV="1">
          <a:off x="6080760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 rot="10800000" flipH="1" flipV="1">
          <a:off x="6071235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0800000" flipH="1" flipV="1">
          <a:off x="6071235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rot="10800000" flipH="1" flipV="1">
          <a:off x="6061710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rot="10800000" flipH="1" flipV="1">
          <a:off x="6858000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0800000" flipH="1" flipV="1">
          <a:off x="6867525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 rot="10800000" flipH="1" flipV="1">
          <a:off x="605218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rot="10800000" flipH="1" flipV="1">
          <a:off x="685800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 rot="10800000" flipH="1" flipV="1">
          <a:off x="6848475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 rot="10800000" flipH="1" flipV="1">
          <a:off x="6071235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 rot="10800000" flipH="1" flipV="1">
          <a:off x="6848475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0800000" flipH="1" flipV="1">
          <a:off x="68580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 rot="10800000" flipH="1" flipV="1">
          <a:off x="6848475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 rot="10800000" flipH="1" flipV="1">
          <a:off x="6080760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 rot="10800000" flipH="1" flipV="1">
          <a:off x="6858000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rot="10800000" flipH="1" flipV="1">
          <a:off x="6061710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 rot="10800000" flipH="1" flipV="1">
          <a:off x="6848475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 rot="10800000" flipH="1" flipV="1">
          <a:off x="6061710" y="3190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 rot="10800000" flipH="1" flipV="1">
          <a:off x="6858000" y="31813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 rot="10800000" flipH="1" flipV="1">
          <a:off x="606171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 rot="10800000" flipH="1" flipV="1">
          <a:off x="687705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 rot="10800000" flipH="1" flipV="1">
          <a:off x="6071235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 rot="10800000" flipH="1" flipV="1">
          <a:off x="6858000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 rot="10800000" flipH="1" flipV="1">
          <a:off x="6071235" y="36480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 rot="10800000" flipH="1" flipV="1">
          <a:off x="6858000" y="36385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 rot="10800000" flipH="1" flipV="1">
          <a:off x="606171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 rot="10800000" flipH="1" flipV="1">
          <a:off x="685800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80" name="Arc 5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 rot="10800000" flipH="1" flipV="1">
          <a:off x="607123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81" name="Arc 59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 rot="10800000" flipH="1" flipV="1">
          <a:off x="686752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82" name="Arc 59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10800000" flipH="1" flipV="1">
          <a:off x="605218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83" name="Arc 59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rot="10800000" flipH="1" flipV="1">
          <a:off x="686752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7620</xdr:colOff>
      <xdr:row>16</xdr:row>
      <xdr:rowOff>7620</xdr:rowOff>
    </xdr:from>
    <xdr:ext cx="1844040" cy="1356360"/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7620" y="2727960"/>
          <a:ext cx="1844040" cy="13563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9525</xdr:colOff>
      <xdr:row>16</xdr:row>
      <xdr:rowOff>7620</xdr:rowOff>
    </xdr:from>
    <xdr:ext cx="1842135" cy="1344930"/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9525" y="2727960"/>
          <a:ext cx="1842135" cy="134493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0</xdr:colOff>
      <xdr:row>16</xdr:row>
      <xdr:rowOff>15240</xdr:rowOff>
    </xdr:from>
    <xdr:ext cx="1729740" cy="1356360"/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11094720" y="2735580"/>
          <a:ext cx="1729740" cy="135636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28575</xdr:colOff>
      <xdr:row>16</xdr:row>
      <xdr:rowOff>7620</xdr:rowOff>
    </xdr:from>
    <xdr:ext cx="1701165" cy="1363980"/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H="1">
          <a:off x="11123295" y="2727960"/>
          <a:ext cx="1701165" cy="136398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98" name="Arc 59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 rot="10800000" flipH="1" flipV="1">
          <a:off x="607123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99" name="Arc 59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114" name="Arc 59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 rot="10800000" flipH="1" flipV="1">
          <a:off x="6052185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135" name="Arc 593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x-none"/>
        </a:p>
      </xdr:txBody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136" name="Arc 59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179" name="Arc 59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 rot="10800000" flipH="1" flipV="1">
          <a:off x="6061710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8</xdr:row>
      <xdr:rowOff>0</xdr:rowOff>
    </xdr:from>
    <xdr:ext cx="409575" cy="0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261735" y="1504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247650</xdr:colOff>
      <xdr:row>9</xdr:row>
      <xdr:rowOff>0</xdr:rowOff>
    </xdr:from>
    <xdr:ext cx="409575" cy="0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271260" y="1657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0</xdr:rowOff>
    </xdr:from>
    <xdr:ext cx="409575" cy="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261735" y="1809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10</xdr:row>
      <xdr:rowOff>152400</xdr:rowOff>
    </xdr:from>
    <xdr:ext cx="409575" cy="0"/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261735" y="1962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0</xdr:rowOff>
    </xdr:from>
    <xdr:ext cx="409575" cy="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261735" y="2114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12</xdr:row>
      <xdr:rowOff>152400</xdr:rowOff>
    </xdr:from>
    <xdr:ext cx="409575" cy="0"/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261735" y="2266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14</xdr:row>
      <xdr:rowOff>0</xdr:rowOff>
    </xdr:from>
    <xdr:ext cx="409575" cy="0"/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261735" y="24193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0</xdr:rowOff>
    </xdr:from>
    <xdr:ext cx="409575" cy="0"/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261735" y="25717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15</xdr:row>
      <xdr:rowOff>152400</xdr:rowOff>
    </xdr:from>
    <xdr:ext cx="409575" cy="0"/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261735" y="27241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16</xdr:row>
      <xdr:rowOff>152400</xdr:rowOff>
    </xdr:from>
    <xdr:ext cx="409575" cy="0"/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6261735" y="28765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17</xdr:row>
      <xdr:rowOff>152400</xdr:rowOff>
    </xdr:from>
    <xdr:ext cx="409575" cy="0"/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261735" y="30289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18</xdr:row>
      <xdr:rowOff>152400</xdr:rowOff>
    </xdr:from>
    <xdr:ext cx="409575" cy="0"/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261735" y="3219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19</xdr:row>
      <xdr:rowOff>152400</xdr:rowOff>
    </xdr:from>
    <xdr:ext cx="409575" cy="0"/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6261735" y="3371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20</xdr:row>
      <xdr:rowOff>152400</xdr:rowOff>
    </xdr:from>
    <xdr:ext cx="409575" cy="0"/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6261735" y="35242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21</xdr:row>
      <xdr:rowOff>152400</xdr:rowOff>
    </xdr:from>
    <xdr:ext cx="409575" cy="0"/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261735" y="36766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22</xdr:row>
      <xdr:rowOff>152400</xdr:rowOff>
    </xdr:from>
    <xdr:ext cx="409575" cy="0"/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6261735" y="38290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0</xdr:rowOff>
    </xdr:from>
    <xdr:ext cx="409575" cy="0"/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6261735" y="39814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238125</xdr:colOff>
      <xdr:row>24</xdr:row>
      <xdr:rowOff>152400</xdr:rowOff>
    </xdr:from>
    <xdr:ext cx="409575" cy="0"/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6261735" y="4133850"/>
          <a:ext cx="409575" cy="0"/>
        </a:xfrm>
        <a:prstGeom prst="line">
          <a:avLst/>
        </a:prstGeom>
        <a:ln w="3175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95250</xdr:colOff>
      <xdr:row>5</xdr:row>
      <xdr:rowOff>247650</xdr:rowOff>
    </xdr:from>
    <xdr:ext cx="19050" cy="3276600"/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>
          <a:off x="6370320" y="1009650"/>
          <a:ext cx="19050" cy="32766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238125</xdr:colOff>
      <xdr:row>5</xdr:row>
      <xdr:rowOff>266700</xdr:rowOff>
    </xdr:from>
    <xdr:ext cx="9525" cy="3257550"/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6513195" y="1028700"/>
          <a:ext cx="9525" cy="32575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428625</xdr:colOff>
      <xdr:row>5</xdr:row>
      <xdr:rowOff>238125</xdr:rowOff>
    </xdr:from>
    <xdr:ext cx="9525" cy="3267075"/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6703695" y="1000125"/>
          <a:ext cx="9525" cy="326707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66675</xdr:colOff>
      <xdr:row>7</xdr:row>
      <xdr:rowOff>133350</xdr:rowOff>
    </xdr:from>
    <xdr:ext cx="38100" cy="38100"/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6341745" y="1485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8</xdr:row>
      <xdr:rowOff>142875</xdr:rowOff>
    </xdr:from>
    <xdr:ext cx="38100" cy="38100"/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6494145" y="16478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9</xdr:row>
      <xdr:rowOff>133350</xdr:rowOff>
    </xdr:from>
    <xdr:ext cx="38100" cy="38100"/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665595" y="1790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10</xdr:row>
      <xdr:rowOff>133350</xdr:rowOff>
    </xdr:from>
    <xdr:ext cx="38100" cy="38100"/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6351270" y="19431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11</xdr:row>
      <xdr:rowOff>133350</xdr:rowOff>
    </xdr:from>
    <xdr:ext cx="38100" cy="38100"/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6494145" y="2095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12</xdr:row>
      <xdr:rowOff>142875</xdr:rowOff>
    </xdr:from>
    <xdr:ext cx="38100" cy="38100"/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6665595" y="22574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13</xdr:row>
      <xdr:rowOff>133350</xdr:rowOff>
    </xdr:from>
    <xdr:ext cx="38100" cy="38100"/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6351270" y="24003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14</xdr:row>
      <xdr:rowOff>133350</xdr:rowOff>
    </xdr:from>
    <xdr:ext cx="38100" cy="38100"/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494145" y="25527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15</xdr:row>
      <xdr:rowOff>142875</xdr:rowOff>
    </xdr:from>
    <xdr:ext cx="38100" cy="38100"/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6665595" y="27146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76200</xdr:colOff>
      <xdr:row>16</xdr:row>
      <xdr:rowOff>133350</xdr:rowOff>
    </xdr:from>
    <xdr:ext cx="38100" cy="38100"/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351270" y="28575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17</xdr:row>
      <xdr:rowOff>133350</xdr:rowOff>
    </xdr:from>
    <xdr:ext cx="38100" cy="38100"/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6494145" y="30099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390525</xdr:colOff>
      <xdr:row>18</xdr:row>
      <xdr:rowOff>133350</xdr:rowOff>
    </xdr:from>
    <xdr:ext cx="38100" cy="38100"/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6665595" y="32004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19</xdr:row>
      <xdr:rowOff>133350</xdr:rowOff>
    </xdr:from>
    <xdr:ext cx="38100" cy="38100"/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360795" y="3352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219075</xdr:colOff>
      <xdr:row>20</xdr:row>
      <xdr:rowOff>142875</xdr:rowOff>
    </xdr:from>
    <xdr:ext cx="38100" cy="38100"/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494145" y="35147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21</xdr:row>
      <xdr:rowOff>133350</xdr:rowOff>
    </xdr:from>
    <xdr:ext cx="38100" cy="38100"/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675120" y="36576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85725</xdr:colOff>
      <xdr:row>22</xdr:row>
      <xdr:rowOff>133350</xdr:rowOff>
    </xdr:from>
    <xdr:ext cx="38100" cy="38100"/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6360795" y="38100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228600</xdr:colOff>
      <xdr:row>23</xdr:row>
      <xdr:rowOff>142875</xdr:rowOff>
    </xdr:from>
    <xdr:ext cx="38100" cy="38100"/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6503670" y="3971925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400050</xdr:colOff>
      <xdr:row>24</xdr:row>
      <xdr:rowOff>133350</xdr:rowOff>
    </xdr:from>
    <xdr:ext cx="38100" cy="38100"/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675120" y="4114800"/>
          <a:ext cx="38100" cy="38100"/>
        </a:xfrm>
        <a:prstGeom prst="ellipse">
          <a:avLst/>
        </a:prstGeom>
        <a:solidFill>
          <a:schemeClr val="dk1"/>
        </a:solidFill>
        <a:ln w="12700" cap="flat" cmpd="sng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11</xdr:col>
      <xdr:colOff>95250</xdr:colOff>
      <xdr:row>27</xdr:row>
      <xdr:rowOff>0</xdr:rowOff>
    </xdr:from>
    <xdr:ext cx="0" cy="152400"/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63703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247650</xdr:colOff>
      <xdr:row>26</xdr:row>
      <xdr:rowOff>152400</xdr:rowOff>
    </xdr:from>
    <xdr:ext cx="0" cy="152400"/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 flipV="1">
          <a:off x="6522720" y="4438650"/>
          <a:ext cx="0" cy="15240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419100</xdr:colOff>
      <xdr:row>27</xdr:row>
      <xdr:rowOff>0</xdr:rowOff>
    </xdr:from>
    <xdr:ext cx="0" cy="161925"/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H="1" flipV="1">
          <a:off x="6694170" y="4438650"/>
          <a:ext cx="0" cy="161925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0</xdr:colOff>
      <xdr:row>26</xdr:row>
      <xdr:rowOff>85725</xdr:rowOff>
    </xdr:from>
    <xdr:ext cx="504825" cy="0"/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6275070" y="4371975"/>
          <a:ext cx="50482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miter lim="800000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11</xdr:col>
      <xdr:colOff>76200</xdr:colOff>
      <xdr:row>26</xdr:row>
      <xdr:rowOff>19050</xdr:rowOff>
    </xdr:from>
    <xdr:ext cx="104775" cy="133350"/>
    <xdr:sp macro="" textlink="">
      <xdr:nvSpPr>
        <xdr:cNvPr id="45" name="Arc 70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 rot="5400000">
          <a:off x="6336665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228600</xdr:colOff>
      <xdr:row>26</xdr:row>
      <xdr:rowOff>9525</xdr:rowOff>
    </xdr:from>
    <xdr:ext cx="104775" cy="133350"/>
    <xdr:sp macro="" textlink="">
      <xdr:nvSpPr>
        <xdr:cNvPr id="46" name="Arc 70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 rot="5400000">
          <a:off x="6489065" y="4309745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11</xdr:col>
      <xdr:colOff>371475</xdr:colOff>
      <xdr:row>26</xdr:row>
      <xdr:rowOff>19050</xdr:rowOff>
    </xdr:from>
    <xdr:ext cx="104775" cy="133350"/>
    <xdr:sp macro="" textlink="">
      <xdr:nvSpPr>
        <xdr:cNvPr id="47" name="Arc 70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 rot="5400000">
          <a:off x="6631940" y="4319270"/>
          <a:ext cx="133350" cy="104775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7</xdr:row>
      <xdr:rowOff>114300</xdr:rowOff>
    </xdr:from>
    <xdr:ext cx="133350" cy="76200"/>
    <xdr:sp macro="" textlink="">
      <xdr:nvSpPr>
        <xdr:cNvPr id="48" name="Arc 59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 rot="10800000" flipH="1" flipV="1">
          <a:off x="6080760" y="1466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8</xdr:row>
      <xdr:rowOff>123825</xdr:rowOff>
    </xdr:from>
    <xdr:ext cx="133350" cy="76200"/>
    <xdr:sp macro="" textlink="">
      <xdr:nvSpPr>
        <xdr:cNvPr id="49" name="Arc 59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 rot="10800000" flipH="1" flipV="1">
          <a:off x="6071235" y="1628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9</xdr:row>
      <xdr:rowOff>114300</xdr:rowOff>
    </xdr:from>
    <xdr:ext cx="133350" cy="76200"/>
    <xdr:sp macro="" textlink="">
      <xdr:nvSpPr>
        <xdr:cNvPr id="50" name="Arc 59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 rot="10800000" flipH="1" flipV="1">
          <a:off x="6071235" y="1771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10</xdr:row>
      <xdr:rowOff>114300</xdr:rowOff>
    </xdr:from>
    <xdr:ext cx="133350" cy="76200"/>
    <xdr:sp macro="" textlink="">
      <xdr:nvSpPr>
        <xdr:cNvPr id="51" name="Arc 593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rot="10800000" flipH="1" flipV="1">
          <a:off x="6061710" y="1924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7</xdr:row>
      <xdr:rowOff>123825</xdr:rowOff>
    </xdr:from>
    <xdr:ext cx="133350" cy="76200"/>
    <xdr:sp macro="" textlink="">
      <xdr:nvSpPr>
        <xdr:cNvPr id="52" name="Arc 59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 rot="10800000" flipH="1" flipV="1">
          <a:off x="6858000" y="1476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8</xdr:row>
      <xdr:rowOff>104775</xdr:rowOff>
    </xdr:from>
    <xdr:ext cx="133350" cy="76200"/>
    <xdr:sp macro="" textlink="">
      <xdr:nvSpPr>
        <xdr:cNvPr id="53" name="Arc 59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rot="10800000" flipH="1" flipV="1">
          <a:off x="6867525" y="160972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54" name="Arc 59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11</xdr:row>
      <xdr:rowOff>114300</xdr:rowOff>
    </xdr:from>
    <xdr:ext cx="133350" cy="76200"/>
    <xdr:sp macro="" textlink="">
      <xdr:nvSpPr>
        <xdr:cNvPr id="55" name="Arc 59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 rot="10800000" flipH="1" flipV="1">
          <a:off x="6052185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11</xdr:row>
      <xdr:rowOff>114300</xdr:rowOff>
    </xdr:from>
    <xdr:ext cx="133350" cy="76200"/>
    <xdr:sp macro="" textlink="">
      <xdr:nvSpPr>
        <xdr:cNvPr id="56" name="Arc 59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 rot="10800000" flipH="1" flipV="1">
          <a:off x="6858000" y="2076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12</xdr:row>
      <xdr:rowOff>123825</xdr:rowOff>
    </xdr:from>
    <xdr:ext cx="133350" cy="76200"/>
    <xdr:sp macro="" textlink="">
      <xdr:nvSpPr>
        <xdr:cNvPr id="57" name="Arc 59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 rot="10800000" flipH="1" flipV="1">
          <a:off x="6848475" y="22383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13</xdr:row>
      <xdr:rowOff>114300</xdr:rowOff>
    </xdr:from>
    <xdr:ext cx="133350" cy="76200"/>
    <xdr:sp macro="" textlink="">
      <xdr:nvSpPr>
        <xdr:cNvPr id="58" name="Arc 59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 rot="10800000" flipH="1" flipV="1">
          <a:off x="6071235" y="23812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13</xdr:row>
      <xdr:rowOff>123825</xdr:rowOff>
    </xdr:from>
    <xdr:ext cx="133350" cy="76200"/>
    <xdr:sp macro="" textlink="">
      <xdr:nvSpPr>
        <xdr:cNvPr id="59" name="Arc 593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 rot="10800000" flipH="1" flipV="1">
          <a:off x="6848475" y="23907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14</xdr:row>
      <xdr:rowOff>114300</xdr:rowOff>
    </xdr:from>
    <xdr:ext cx="133350" cy="76200"/>
    <xdr:sp macro="" textlink="">
      <xdr:nvSpPr>
        <xdr:cNvPr id="60" name="Arc 593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 rot="10800000" flipH="1" flipV="1">
          <a:off x="6858000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15</xdr:row>
      <xdr:rowOff>123825</xdr:rowOff>
    </xdr:from>
    <xdr:ext cx="133350" cy="76200"/>
    <xdr:sp macro="" textlink="">
      <xdr:nvSpPr>
        <xdr:cNvPr id="61" name="Arc 59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 rot="10800000" flipH="1" flipV="1">
          <a:off x="6848475" y="2695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57150</xdr:colOff>
      <xdr:row>16</xdr:row>
      <xdr:rowOff>114300</xdr:rowOff>
    </xdr:from>
    <xdr:ext cx="133350" cy="76200"/>
    <xdr:sp macro="" textlink="">
      <xdr:nvSpPr>
        <xdr:cNvPr id="62" name="Arc 59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 rot="10800000" flipH="1" flipV="1">
          <a:off x="6080760" y="28384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16</xdr:row>
      <xdr:rowOff>123825</xdr:rowOff>
    </xdr:from>
    <xdr:ext cx="133350" cy="76200"/>
    <xdr:sp macro="" textlink="">
      <xdr:nvSpPr>
        <xdr:cNvPr id="63" name="Arc 59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 rot="10800000" flipH="1" flipV="1">
          <a:off x="6858000" y="28479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17</xdr:row>
      <xdr:rowOff>114300</xdr:rowOff>
    </xdr:from>
    <xdr:ext cx="133350" cy="114300"/>
    <xdr:sp macro="" textlink="">
      <xdr:nvSpPr>
        <xdr:cNvPr id="64" name="Arc 59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 rot="10800000" flipH="1" flipV="1">
          <a:off x="6061710" y="2990850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47625</xdr:colOff>
      <xdr:row>17</xdr:row>
      <xdr:rowOff>123825</xdr:rowOff>
    </xdr:from>
    <xdr:ext cx="133350" cy="114300"/>
    <xdr:sp macro="" textlink="">
      <xdr:nvSpPr>
        <xdr:cNvPr id="65" name="Arc 593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 rot="10800000" flipH="1" flipV="1">
          <a:off x="6848475" y="3000375"/>
          <a:ext cx="133350" cy="1143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18</xdr:row>
      <xdr:rowOff>123825</xdr:rowOff>
    </xdr:from>
    <xdr:ext cx="133350" cy="76200"/>
    <xdr:sp macro="" textlink="">
      <xdr:nvSpPr>
        <xdr:cNvPr id="66" name="Arc 593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 rot="10800000" flipH="1" flipV="1">
          <a:off x="6061710" y="3190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18</xdr:row>
      <xdr:rowOff>114300</xdr:rowOff>
    </xdr:from>
    <xdr:ext cx="133350" cy="76200"/>
    <xdr:sp macro="" textlink="">
      <xdr:nvSpPr>
        <xdr:cNvPr id="67" name="Arc 593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 rot="10800000" flipH="1" flipV="1">
          <a:off x="6858000" y="31813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19</xdr:row>
      <xdr:rowOff>123825</xdr:rowOff>
    </xdr:from>
    <xdr:ext cx="133350" cy="76200"/>
    <xdr:sp macro="" textlink="">
      <xdr:nvSpPr>
        <xdr:cNvPr id="68" name="Arc 59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 rot="10800000" flipH="1" flipV="1">
          <a:off x="606171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76200</xdr:colOff>
      <xdr:row>19</xdr:row>
      <xdr:rowOff>123825</xdr:rowOff>
    </xdr:from>
    <xdr:ext cx="133350" cy="76200"/>
    <xdr:sp macro="" textlink="">
      <xdr:nvSpPr>
        <xdr:cNvPr id="69" name="Arc 59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 rot="10800000" flipH="1" flipV="1">
          <a:off x="6877050" y="33432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20</xdr:row>
      <xdr:rowOff>123825</xdr:rowOff>
    </xdr:from>
    <xdr:ext cx="133350" cy="76200"/>
    <xdr:sp macro="" textlink="">
      <xdr:nvSpPr>
        <xdr:cNvPr id="70" name="Arc 593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 rot="10800000" flipH="1" flipV="1">
          <a:off x="6071235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20</xdr:row>
      <xdr:rowOff>123825</xdr:rowOff>
    </xdr:from>
    <xdr:ext cx="133350" cy="76200"/>
    <xdr:sp macro="" textlink="">
      <xdr:nvSpPr>
        <xdr:cNvPr id="71" name="Arc 593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 rot="10800000" flipH="1" flipV="1">
          <a:off x="6858000" y="34956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21</xdr:row>
      <xdr:rowOff>123825</xdr:rowOff>
    </xdr:from>
    <xdr:ext cx="133350" cy="76200"/>
    <xdr:sp macro="" textlink="">
      <xdr:nvSpPr>
        <xdr:cNvPr id="72" name="Arc 593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 rot="10800000" flipH="1" flipV="1">
          <a:off x="6071235" y="36480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21</xdr:row>
      <xdr:rowOff>114300</xdr:rowOff>
    </xdr:from>
    <xdr:ext cx="133350" cy="76200"/>
    <xdr:sp macro="" textlink="">
      <xdr:nvSpPr>
        <xdr:cNvPr id="73" name="Arc 59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 rot="10800000" flipH="1" flipV="1">
          <a:off x="6858000" y="36385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22</xdr:row>
      <xdr:rowOff>123825</xdr:rowOff>
    </xdr:from>
    <xdr:ext cx="133350" cy="76200"/>
    <xdr:sp macro="" textlink="">
      <xdr:nvSpPr>
        <xdr:cNvPr id="74" name="Arc 59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 rot="10800000" flipH="1" flipV="1">
          <a:off x="606171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22</xdr:row>
      <xdr:rowOff>123825</xdr:rowOff>
    </xdr:from>
    <xdr:ext cx="133350" cy="76200"/>
    <xdr:sp macro="" textlink="">
      <xdr:nvSpPr>
        <xdr:cNvPr id="75" name="Arc 59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 rot="10800000" flipH="1" flipV="1">
          <a:off x="6858000" y="38004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47625</xdr:colOff>
      <xdr:row>23</xdr:row>
      <xdr:rowOff>123825</xdr:rowOff>
    </xdr:from>
    <xdr:ext cx="133350" cy="76200"/>
    <xdr:sp macro="" textlink="">
      <xdr:nvSpPr>
        <xdr:cNvPr id="76" name="Arc 593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 rot="10800000" flipH="1" flipV="1">
          <a:off x="607123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23</xdr:row>
      <xdr:rowOff>123825</xdr:rowOff>
    </xdr:from>
    <xdr:ext cx="133350" cy="76200"/>
    <xdr:sp macro="" textlink="">
      <xdr:nvSpPr>
        <xdr:cNvPr id="77" name="Arc 593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 rot="10800000" flipH="1" flipV="1">
          <a:off x="6867525" y="39528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24</xdr:row>
      <xdr:rowOff>114300</xdr:rowOff>
    </xdr:from>
    <xdr:ext cx="133350" cy="76200"/>
    <xdr:sp macro="" textlink="">
      <xdr:nvSpPr>
        <xdr:cNvPr id="78" name="Arc 593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 rot="10800000" flipH="1" flipV="1">
          <a:off x="605218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66675</xdr:colOff>
      <xdr:row>24</xdr:row>
      <xdr:rowOff>114300</xdr:rowOff>
    </xdr:from>
    <xdr:ext cx="133350" cy="76200"/>
    <xdr:sp macro="" textlink="">
      <xdr:nvSpPr>
        <xdr:cNvPr id="79" name="Arc 593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 rot="10800000" flipH="1" flipV="1">
          <a:off x="6867525" y="40957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0</xdr:col>
      <xdr:colOff>0</xdr:colOff>
      <xdr:row>16</xdr:row>
      <xdr:rowOff>22860</xdr:rowOff>
    </xdr:from>
    <xdr:ext cx="1828800" cy="1339215"/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0" y="2743200"/>
          <a:ext cx="1828800" cy="1339215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0</xdr:col>
      <xdr:colOff>38100</xdr:colOff>
      <xdr:row>16</xdr:row>
      <xdr:rowOff>15240</xdr:rowOff>
    </xdr:from>
    <xdr:ext cx="1821180" cy="1346835"/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 flipH="1">
          <a:off x="38100" y="2735580"/>
          <a:ext cx="1821180" cy="1346835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0</xdr:colOff>
      <xdr:row>16</xdr:row>
      <xdr:rowOff>7620</xdr:rowOff>
    </xdr:from>
    <xdr:ext cx="1729740" cy="1363980"/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11094720" y="2727960"/>
          <a:ext cx="1729740" cy="1363980"/>
        </a:xfrm>
        <a:prstGeom prst="line">
          <a:avLst/>
        </a:prstGeom>
        <a:ln w="19050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22</xdr:col>
      <xdr:colOff>28575</xdr:colOff>
      <xdr:row>16</xdr:row>
      <xdr:rowOff>15240</xdr:rowOff>
    </xdr:from>
    <xdr:ext cx="1708785" cy="1356360"/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 flipH="1">
          <a:off x="11123295" y="2735580"/>
          <a:ext cx="1708785" cy="1356360"/>
        </a:xfrm>
        <a:prstGeom prst="line">
          <a:avLst/>
        </a:prstGeom>
        <a:ln w="19050">
          <a:solidFill>
            <a:schemeClr val="tx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10</xdr:col>
      <xdr:colOff>47625</xdr:colOff>
      <xdr:row>14</xdr:row>
      <xdr:rowOff>114300</xdr:rowOff>
    </xdr:from>
    <xdr:ext cx="133350" cy="76200"/>
    <xdr:sp macro="" textlink="">
      <xdr:nvSpPr>
        <xdr:cNvPr id="84" name="Arc 59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 rot="10800000" flipH="1" flipV="1">
          <a:off x="6071235" y="25336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5" name="Arc 593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28575</xdr:colOff>
      <xdr:row>12</xdr:row>
      <xdr:rowOff>114300</xdr:rowOff>
    </xdr:from>
    <xdr:ext cx="133350" cy="76200"/>
    <xdr:sp macro="" textlink="">
      <xdr:nvSpPr>
        <xdr:cNvPr id="86" name="Arc 593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 rot="10800000" flipH="1" flipV="1">
          <a:off x="6052185" y="22288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9</xdr:row>
      <xdr:rowOff>123825</xdr:rowOff>
    </xdr:from>
    <xdr:ext cx="133350" cy="76200"/>
    <xdr:sp macro="" textlink="">
      <xdr:nvSpPr>
        <xdr:cNvPr id="87" name="Arc 593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 rot="10800000" flipH="1" flipV="1">
          <a:off x="6858000" y="17811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12</xdr:col>
      <xdr:colOff>57150</xdr:colOff>
      <xdr:row>10</xdr:row>
      <xdr:rowOff>123825</xdr:rowOff>
    </xdr:from>
    <xdr:ext cx="133350" cy="76200"/>
    <xdr:sp macro="" textlink="">
      <xdr:nvSpPr>
        <xdr:cNvPr id="88" name="Arc 59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 rot="10800000" flipH="1" flipV="1">
          <a:off x="6858000" y="1933575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  <xdr:oneCellAnchor>
    <xdr:from>
      <xdr:col>10</xdr:col>
      <xdr:colOff>38100</xdr:colOff>
      <xdr:row>15</xdr:row>
      <xdr:rowOff>114300</xdr:rowOff>
    </xdr:from>
    <xdr:ext cx="133350" cy="76200"/>
    <xdr:sp macro="" textlink="">
      <xdr:nvSpPr>
        <xdr:cNvPr id="89" name="Arc 593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 rot="10800000" flipH="1" flipV="1">
          <a:off x="6061710" y="2686050"/>
          <a:ext cx="133350" cy="76200"/>
        </a:xfrm>
        <a:custGeom>
          <a:avLst/>
          <a:gdLst>
            <a:gd name="T0" fmla="*/ 0 w 35361"/>
            <a:gd name="T1" fmla="*/ 2147483646 h 21600"/>
            <a:gd name="T2" fmla="*/ 2147483646 w 35361"/>
            <a:gd name="T3" fmla="*/ 2147483646 h 21600"/>
            <a:gd name="T4" fmla="*/ 2147483646 w 35361"/>
            <a:gd name="T5" fmla="*/ 2147483646 h 21600"/>
            <a:gd name="T6" fmla="*/ 0 60000 65536"/>
            <a:gd name="T7" fmla="*/ 0 60000 65536"/>
            <a:gd name="T8" fmla="*/ 0 60000 65536"/>
            <a:gd name="T9" fmla="*/ 0 w 35361"/>
            <a:gd name="T10" fmla="*/ 0 h 21600"/>
            <a:gd name="T11" fmla="*/ 35361 w 35361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5361" h="21600" fill="none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</a:path>
            <a:path w="35361" h="21600" stroke="0" extrusionOk="0">
              <a:moveTo>
                <a:pt x="0" y="9174"/>
              </a:moveTo>
              <a:cubicBezTo>
                <a:pt x="4045" y="3422"/>
                <a:pt x="10636" y="-1"/>
                <a:pt x="17668" y="0"/>
              </a:cubicBezTo>
              <a:cubicBezTo>
                <a:pt x="24714" y="0"/>
                <a:pt x="31318" y="3437"/>
                <a:pt x="35361" y="9209"/>
              </a:cubicBezTo>
              <a:lnTo>
                <a:pt x="17668" y="21600"/>
              </a:lnTo>
              <a:lnTo>
                <a:pt x="0" y="9174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"/>
  <sheetViews>
    <sheetView zoomScaleNormal="100" workbookViewId="0">
      <selection activeCell="W14" sqref="W14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57" t="s">
        <v>46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9"/>
    </row>
    <row r="2" spans="1:23" ht="12" customHeight="1">
      <c r="A2" s="113" t="s">
        <v>0</v>
      </c>
      <c r="B2" s="160" t="s">
        <v>73</v>
      </c>
      <c r="C2" s="136"/>
      <c r="D2" s="136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110" t="s">
        <v>75</v>
      </c>
      <c r="R2" s="3"/>
      <c r="S2" s="3"/>
      <c r="T2" s="3"/>
      <c r="U2" s="3"/>
      <c r="V2" s="84"/>
      <c r="W2" s="85"/>
    </row>
    <row r="3" spans="1:23" ht="12" customHeight="1">
      <c r="A3" s="112" t="s">
        <v>2</v>
      </c>
      <c r="B3" s="160" t="s">
        <v>3</v>
      </c>
      <c r="C3" s="136"/>
      <c r="D3" s="136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3" t="s">
        <v>47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61"/>
      <c r="C4" s="124"/>
      <c r="D4" s="124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61" t="s">
        <v>74</v>
      </c>
      <c r="R4" s="124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>
      <c r="A6" s="11" t="s">
        <v>7</v>
      </c>
      <c r="B6" s="12" t="s">
        <v>8</v>
      </c>
      <c r="C6" s="12" t="s">
        <v>9</v>
      </c>
      <c r="D6" s="13" t="s">
        <v>10</v>
      </c>
      <c r="E6" s="13" t="s">
        <v>11</v>
      </c>
      <c r="F6" s="13" t="s">
        <v>12</v>
      </c>
      <c r="G6" s="145" t="s">
        <v>13</v>
      </c>
      <c r="H6" s="146"/>
      <c r="I6" s="147"/>
      <c r="J6" s="148" t="s">
        <v>14</v>
      </c>
      <c r="K6" s="149"/>
      <c r="L6" s="149"/>
      <c r="M6" s="149"/>
      <c r="N6" s="150"/>
      <c r="O6" s="145" t="s">
        <v>13</v>
      </c>
      <c r="P6" s="146"/>
      <c r="Q6" s="147"/>
      <c r="R6" s="13" t="s">
        <v>12</v>
      </c>
      <c r="S6" s="13" t="s">
        <v>11</v>
      </c>
      <c r="T6" s="13" t="s">
        <v>10</v>
      </c>
      <c r="U6" s="12" t="s">
        <v>9</v>
      </c>
      <c r="V6" s="12" t="s">
        <v>8</v>
      </c>
      <c r="W6" s="88" t="s">
        <v>7</v>
      </c>
    </row>
    <row r="7" spans="1:23" ht="12" customHeight="1">
      <c r="A7" s="14"/>
      <c r="B7" s="15"/>
      <c r="C7" s="16"/>
      <c r="D7" s="16"/>
      <c r="E7" s="16"/>
      <c r="F7" s="16"/>
      <c r="G7" s="17" t="s">
        <v>15</v>
      </c>
      <c r="H7" s="18" t="s">
        <v>16</v>
      </c>
      <c r="I7" s="18" t="s">
        <v>17</v>
      </c>
      <c r="J7" s="58"/>
      <c r="K7" s="59"/>
      <c r="L7" s="60"/>
      <c r="M7" s="60"/>
      <c r="N7" s="61"/>
      <c r="O7" s="62" t="s">
        <v>15</v>
      </c>
      <c r="P7" s="18" t="s">
        <v>16</v>
      </c>
      <c r="Q7" s="89" t="s">
        <v>17</v>
      </c>
      <c r="R7" s="90"/>
      <c r="S7" s="90"/>
      <c r="T7" s="90"/>
      <c r="U7" s="90"/>
      <c r="V7" s="15"/>
      <c r="W7" s="91"/>
    </row>
    <row r="8" spans="1:23" ht="12" customHeight="1">
      <c r="A8" s="108" t="s">
        <v>52</v>
      </c>
      <c r="B8" s="27" t="s">
        <v>18</v>
      </c>
      <c r="C8" s="21">
        <v>8</v>
      </c>
      <c r="D8" s="28">
        <v>100</v>
      </c>
      <c r="E8" s="22">
        <f t="shared" ref="E8:E25" si="0">C8*D8</f>
        <v>800</v>
      </c>
      <c r="F8" s="23">
        <v>0.45</v>
      </c>
      <c r="G8" s="24">
        <f>E8*F8</f>
        <v>360</v>
      </c>
      <c r="H8" s="21"/>
      <c r="I8" s="63"/>
      <c r="J8" s="64">
        <v>1</v>
      </c>
      <c r="K8" s="65">
        <v>10</v>
      </c>
      <c r="L8" s="154"/>
      <c r="M8" s="65">
        <v>10</v>
      </c>
      <c r="N8" s="66">
        <v>10</v>
      </c>
      <c r="O8" s="27">
        <f>S8*R8</f>
        <v>450</v>
      </c>
      <c r="Q8" s="27"/>
      <c r="R8" s="23">
        <v>0.45</v>
      </c>
      <c r="S8" s="92">
        <f t="shared" ref="S8" si="1">T8*U8</f>
        <v>1000</v>
      </c>
      <c r="T8" s="28">
        <v>100</v>
      </c>
      <c r="U8" s="21">
        <v>10</v>
      </c>
      <c r="V8" s="20" t="s">
        <v>18</v>
      </c>
      <c r="W8" s="111" t="s">
        <v>49</v>
      </c>
    </row>
    <row r="9" spans="1:23" ht="12" customHeight="1">
      <c r="A9" s="108" t="s">
        <v>50</v>
      </c>
      <c r="B9" s="27" t="s">
        <v>18</v>
      </c>
      <c r="C9" s="21">
        <v>7</v>
      </c>
      <c r="D9" s="28">
        <v>100</v>
      </c>
      <c r="E9" s="22">
        <f t="shared" si="0"/>
        <v>700</v>
      </c>
      <c r="F9" s="23">
        <v>0.45</v>
      </c>
      <c r="G9" s="25"/>
      <c r="H9" s="25">
        <f>E9*F9</f>
        <v>315</v>
      </c>
      <c r="J9" s="64">
        <v>2</v>
      </c>
      <c r="K9" s="65">
        <v>10</v>
      </c>
      <c r="L9" s="155"/>
      <c r="M9" s="65">
        <v>10</v>
      </c>
      <c r="N9" s="66">
        <v>11</v>
      </c>
      <c r="P9" s="25">
        <f>S9*R9</f>
        <v>360</v>
      </c>
      <c r="Q9" s="25"/>
      <c r="R9" s="23">
        <v>0.45</v>
      </c>
      <c r="S9" s="92">
        <f t="shared" ref="S9:S25" si="2">T9*U9</f>
        <v>800</v>
      </c>
      <c r="T9" s="28">
        <v>100</v>
      </c>
      <c r="U9" s="92">
        <v>8</v>
      </c>
      <c r="V9" s="27" t="s">
        <v>18</v>
      </c>
      <c r="W9" s="111" t="s">
        <v>53</v>
      </c>
    </row>
    <row r="10" spans="1:23" ht="12" customHeight="1">
      <c r="A10" s="108" t="s">
        <v>48</v>
      </c>
      <c r="B10" s="27" t="s">
        <v>18</v>
      </c>
      <c r="C10" s="21">
        <v>10</v>
      </c>
      <c r="D10" s="28">
        <v>100</v>
      </c>
      <c r="E10" s="22">
        <f t="shared" si="0"/>
        <v>1000</v>
      </c>
      <c r="F10" s="23">
        <v>0.45</v>
      </c>
      <c r="G10" s="25"/>
      <c r="I10" s="25">
        <f>E10*F10</f>
        <v>450</v>
      </c>
      <c r="J10" s="64">
        <v>3</v>
      </c>
      <c r="K10" s="65">
        <v>10</v>
      </c>
      <c r="L10" s="155"/>
      <c r="M10" s="65">
        <v>10</v>
      </c>
      <c r="N10" s="66">
        <v>12</v>
      </c>
      <c r="O10" s="27"/>
      <c r="P10" s="25"/>
      <c r="Q10" s="25">
        <f>S10*R10</f>
        <v>765</v>
      </c>
      <c r="R10" s="23">
        <v>0.45</v>
      </c>
      <c r="S10" s="92">
        <f t="shared" si="2"/>
        <v>1700</v>
      </c>
      <c r="T10" s="28">
        <v>100</v>
      </c>
      <c r="U10" s="92">
        <v>17</v>
      </c>
      <c r="V10" s="27" t="s">
        <v>18</v>
      </c>
      <c r="W10" s="111" t="s">
        <v>51</v>
      </c>
    </row>
    <row r="11" spans="1:23" ht="12" customHeight="1">
      <c r="A11" s="108" t="s">
        <v>54</v>
      </c>
      <c r="B11" s="27" t="s">
        <v>19</v>
      </c>
      <c r="C11" s="21">
        <v>6</v>
      </c>
      <c r="D11" s="28">
        <v>250</v>
      </c>
      <c r="E11" s="22">
        <f t="shared" ref="E11:E15" si="3">C11*D11</f>
        <v>1500</v>
      </c>
      <c r="F11" s="23">
        <v>0.5</v>
      </c>
      <c r="G11" s="27">
        <f>E11*F11</f>
        <v>750</v>
      </c>
      <c r="J11" s="64">
        <v>4</v>
      </c>
      <c r="K11" s="65">
        <v>30</v>
      </c>
      <c r="L11" s="155"/>
      <c r="M11" s="65">
        <v>30</v>
      </c>
      <c r="N11" s="66">
        <v>13</v>
      </c>
      <c r="O11" s="27">
        <f>S11*R11</f>
        <v>500</v>
      </c>
      <c r="Q11" s="27"/>
      <c r="R11" s="23">
        <v>0.5</v>
      </c>
      <c r="S11" s="92">
        <f t="shared" ref="S11:S14" si="4">T11*U11</f>
        <v>1000</v>
      </c>
      <c r="T11" s="28">
        <v>250</v>
      </c>
      <c r="U11" s="21">
        <v>4</v>
      </c>
      <c r="V11" s="114" t="s">
        <v>19</v>
      </c>
      <c r="W11" s="115" t="s">
        <v>55</v>
      </c>
    </row>
    <row r="12" spans="1:23" ht="12" customHeight="1">
      <c r="A12" s="108" t="s">
        <v>56</v>
      </c>
      <c r="B12" s="27" t="s">
        <v>19</v>
      </c>
      <c r="C12" s="21">
        <v>7</v>
      </c>
      <c r="D12" s="28">
        <v>250</v>
      </c>
      <c r="E12" s="22">
        <f t="shared" si="3"/>
        <v>1750</v>
      </c>
      <c r="F12" s="23">
        <v>0.5</v>
      </c>
      <c r="G12" s="25"/>
      <c r="H12" s="25">
        <f>E12*F12</f>
        <v>875</v>
      </c>
      <c r="J12" s="64">
        <v>5</v>
      </c>
      <c r="K12" s="65">
        <v>30</v>
      </c>
      <c r="L12" s="155"/>
      <c r="M12" s="65">
        <v>30</v>
      </c>
      <c r="N12" s="66">
        <v>14</v>
      </c>
      <c r="O12" s="27"/>
      <c r="P12" s="27">
        <f>S12*R12</f>
        <v>500</v>
      </c>
      <c r="R12" s="23">
        <v>0.5</v>
      </c>
      <c r="S12" s="92">
        <f t="shared" si="4"/>
        <v>1000</v>
      </c>
      <c r="T12" s="28">
        <v>250</v>
      </c>
      <c r="U12" s="21">
        <v>4</v>
      </c>
      <c r="V12" s="114" t="s">
        <v>19</v>
      </c>
      <c r="W12" s="115" t="s">
        <v>57</v>
      </c>
    </row>
    <row r="13" spans="1:23" ht="12" customHeight="1">
      <c r="A13" s="109" t="s">
        <v>58</v>
      </c>
      <c r="B13" s="20" t="s">
        <v>19</v>
      </c>
      <c r="C13" s="21">
        <v>4</v>
      </c>
      <c r="D13" s="28">
        <v>250</v>
      </c>
      <c r="E13" s="22">
        <f t="shared" si="3"/>
        <v>1000</v>
      </c>
      <c r="F13" s="23">
        <v>0.5</v>
      </c>
      <c r="H13" s="27"/>
      <c r="I13" s="25">
        <f>E13*F13</f>
        <v>500</v>
      </c>
      <c r="J13" s="64">
        <v>6</v>
      </c>
      <c r="K13" s="65">
        <v>30</v>
      </c>
      <c r="L13" s="155"/>
      <c r="M13" s="67">
        <v>30</v>
      </c>
      <c r="N13" s="66">
        <v>15</v>
      </c>
      <c r="P13" s="27"/>
      <c r="Q13" s="27">
        <f>R13*S13</f>
        <v>375</v>
      </c>
      <c r="R13" s="23">
        <v>0.5</v>
      </c>
      <c r="S13" s="92">
        <f t="shared" si="4"/>
        <v>750</v>
      </c>
      <c r="T13" s="22">
        <v>250</v>
      </c>
      <c r="U13" s="21">
        <v>3</v>
      </c>
      <c r="V13" s="20" t="s">
        <v>19</v>
      </c>
      <c r="W13" s="111" t="s">
        <v>59</v>
      </c>
    </row>
    <row r="14" spans="1:23" ht="12" customHeight="1">
      <c r="A14" s="108" t="s">
        <v>20</v>
      </c>
      <c r="B14" s="27" t="s">
        <v>18</v>
      </c>
      <c r="C14" s="21">
        <v>0</v>
      </c>
      <c r="D14" s="28">
        <v>100</v>
      </c>
      <c r="E14" s="22">
        <f t="shared" si="3"/>
        <v>0</v>
      </c>
      <c r="F14" s="23">
        <v>0.45</v>
      </c>
      <c r="G14" s="27">
        <f>F14*E14</f>
        <v>0</v>
      </c>
      <c r="H14" s="29"/>
      <c r="I14" s="27"/>
      <c r="J14" s="64">
        <v>7</v>
      </c>
      <c r="K14" s="65">
        <v>30</v>
      </c>
      <c r="L14" s="155"/>
      <c r="M14" s="67">
        <v>30</v>
      </c>
      <c r="N14" s="66">
        <v>16</v>
      </c>
      <c r="O14" s="27">
        <f>S14*R14</f>
        <v>0</v>
      </c>
      <c r="Q14" s="27"/>
      <c r="R14" s="93">
        <v>0.5</v>
      </c>
      <c r="S14" s="92">
        <f t="shared" si="4"/>
        <v>0</v>
      </c>
      <c r="T14" s="22">
        <v>250</v>
      </c>
      <c r="U14" s="21">
        <v>0</v>
      </c>
      <c r="V14" s="20" t="s">
        <v>19</v>
      </c>
      <c r="W14" s="94" t="s">
        <v>20</v>
      </c>
    </row>
    <row r="15" spans="1:23" ht="12" customHeight="1">
      <c r="A15" s="19" t="s">
        <v>20</v>
      </c>
      <c r="B15" s="20" t="s">
        <v>19</v>
      </c>
      <c r="C15" s="21">
        <v>0</v>
      </c>
      <c r="D15" s="28">
        <v>1500</v>
      </c>
      <c r="E15" s="22">
        <f t="shared" si="3"/>
        <v>0</v>
      </c>
      <c r="F15" s="30">
        <v>0.8</v>
      </c>
      <c r="G15" s="25"/>
      <c r="H15" s="27">
        <f>E15*F15</f>
        <v>0</v>
      </c>
      <c r="J15" s="64">
        <v>8</v>
      </c>
      <c r="K15" s="68">
        <v>30</v>
      </c>
      <c r="L15" s="155"/>
      <c r="M15" s="67">
        <v>10</v>
      </c>
      <c r="N15" s="66">
        <v>17</v>
      </c>
      <c r="P15" s="27">
        <f>R15*S15</f>
        <v>0</v>
      </c>
      <c r="Q15" s="27"/>
      <c r="R15" s="93">
        <v>0.4</v>
      </c>
      <c r="S15" s="92">
        <f t="shared" ref="S15:S16" si="5">T15*U15</f>
        <v>0</v>
      </c>
      <c r="T15" s="22">
        <v>6000</v>
      </c>
      <c r="U15" s="21">
        <v>0</v>
      </c>
      <c r="V15" s="20" t="s">
        <v>21</v>
      </c>
      <c r="W15" s="94" t="s">
        <v>20</v>
      </c>
    </row>
    <row r="16" spans="1:23" ht="12" customHeight="1">
      <c r="A16" s="109" t="s">
        <v>20</v>
      </c>
      <c r="B16" s="20" t="s">
        <v>19</v>
      </c>
      <c r="C16" s="21">
        <v>0</v>
      </c>
      <c r="D16" s="28">
        <v>250</v>
      </c>
      <c r="E16" s="22">
        <f t="shared" si="0"/>
        <v>0</v>
      </c>
      <c r="F16" s="23">
        <v>0.5</v>
      </c>
      <c r="G16" s="25"/>
      <c r="I16" s="25">
        <f>E16*F16</f>
        <v>0</v>
      </c>
      <c r="J16" s="64">
        <v>9</v>
      </c>
      <c r="K16" s="68">
        <v>30</v>
      </c>
      <c r="L16" s="155"/>
      <c r="M16" s="67">
        <v>30</v>
      </c>
      <c r="N16" s="66">
        <v>18</v>
      </c>
      <c r="O16" s="27"/>
      <c r="P16" s="27"/>
      <c r="Q16" s="27">
        <f>R16*S16</f>
        <v>0</v>
      </c>
      <c r="R16" s="93">
        <v>0.45</v>
      </c>
      <c r="S16" s="92">
        <f t="shared" si="5"/>
        <v>0</v>
      </c>
      <c r="T16" s="22">
        <v>1000</v>
      </c>
      <c r="U16" s="92">
        <v>0</v>
      </c>
      <c r="V16" s="27" t="s">
        <v>18</v>
      </c>
      <c r="W16" s="111" t="s">
        <v>20</v>
      </c>
    </row>
    <row r="17" spans="1:23" ht="12" customHeight="1">
      <c r="A17" s="108" t="s">
        <v>20</v>
      </c>
      <c r="B17" s="27" t="s">
        <v>18</v>
      </c>
      <c r="C17" s="21">
        <v>0</v>
      </c>
      <c r="D17" s="28">
        <v>100</v>
      </c>
      <c r="E17" s="22">
        <f t="shared" si="0"/>
        <v>0</v>
      </c>
      <c r="F17" s="23">
        <v>0.45</v>
      </c>
      <c r="G17" s="27">
        <f>F17*E17</f>
        <v>0</v>
      </c>
      <c r="H17" s="29"/>
      <c r="I17" s="27"/>
      <c r="J17" s="64"/>
      <c r="K17" s="68">
        <v>10</v>
      </c>
      <c r="L17" s="155"/>
      <c r="M17" s="67">
        <v>30</v>
      </c>
      <c r="N17" s="66"/>
      <c r="O17" s="27">
        <f>S17*R17</f>
        <v>0</v>
      </c>
      <c r="Q17" s="27"/>
      <c r="R17" s="93">
        <v>0.5</v>
      </c>
      <c r="S17" s="92">
        <f t="shared" si="2"/>
        <v>0</v>
      </c>
      <c r="T17" s="22">
        <v>250</v>
      </c>
      <c r="U17" s="21">
        <v>0</v>
      </c>
      <c r="V17" s="20" t="s">
        <v>19</v>
      </c>
      <c r="W17" s="94" t="s">
        <v>20</v>
      </c>
    </row>
    <row r="18" spans="1:23" ht="12" customHeight="1">
      <c r="A18" s="19" t="s">
        <v>20</v>
      </c>
      <c r="B18" s="20" t="s">
        <v>19</v>
      </c>
      <c r="C18" s="21">
        <v>0</v>
      </c>
      <c r="D18" s="28">
        <v>1500</v>
      </c>
      <c r="E18" s="22">
        <f t="shared" si="0"/>
        <v>0</v>
      </c>
      <c r="F18" s="30">
        <v>0.8</v>
      </c>
      <c r="G18" s="25"/>
      <c r="H18" s="27">
        <f>E18*F18</f>
        <v>0</v>
      </c>
      <c r="J18" s="64"/>
      <c r="K18" s="68">
        <v>20</v>
      </c>
      <c r="L18" s="155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2"/>
        <v>0</v>
      </c>
      <c r="T18" s="22">
        <v>6000</v>
      </c>
      <c r="U18" s="21">
        <v>0</v>
      </c>
      <c r="V18" s="20" t="s">
        <v>21</v>
      </c>
      <c r="W18" s="94" t="s">
        <v>20</v>
      </c>
    </row>
    <row r="19" spans="1:23" ht="12" customHeight="1">
      <c r="A19" s="19" t="s">
        <v>20</v>
      </c>
      <c r="B19" s="27" t="s">
        <v>18</v>
      </c>
      <c r="C19" s="21">
        <v>0</v>
      </c>
      <c r="D19" s="28">
        <v>1000</v>
      </c>
      <c r="E19" s="22">
        <f t="shared" si="0"/>
        <v>0</v>
      </c>
      <c r="F19" s="30">
        <v>0.45</v>
      </c>
      <c r="G19" s="25"/>
      <c r="I19" s="27">
        <f>E19*F19</f>
        <v>0</v>
      </c>
      <c r="J19" s="64"/>
      <c r="K19" s="68">
        <v>10</v>
      </c>
      <c r="L19" s="155"/>
      <c r="M19" s="68">
        <v>10</v>
      </c>
      <c r="N19" s="66"/>
      <c r="O19" s="27"/>
      <c r="P19" s="27"/>
      <c r="Q19" s="27">
        <f>R19*S19</f>
        <v>0</v>
      </c>
      <c r="R19" s="93">
        <v>0.45</v>
      </c>
      <c r="S19" s="92">
        <f t="shared" si="2"/>
        <v>0</v>
      </c>
      <c r="T19" s="22">
        <v>1000</v>
      </c>
      <c r="U19" s="92">
        <v>0</v>
      </c>
      <c r="V19" s="27" t="s">
        <v>18</v>
      </c>
      <c r="W19" s="111" t="s">
        <v>20</v>
      </c>
    </row>
    <row r="20" spans="1:23" ht="12" customHeight="1">
      <c r="A20" s="19" t="s">
        <v>20</v>
      </c>
      <c r="B20" s="20" t="s">
        <v>21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20</v>
      </c>
      <c r="L20" s="155"/>
      <c r="M20" s="68">
        <v>30</v>
      </c>
      <c r="N20" s="66"/>
      <c r="O20" s="27">
        <f>R20*S20</f>
        <v>0</v>
      </c>
      <c r="Q20" s="27"/>
      <c r="R20" s="93">
        <v>0.6</v>
      </c>
      <c r="S20" s="92">
        <f t="shared" si="2"/>
        <v>0</v>
      </c>
      <c r="T20" s="31">
        <v>3000</v>
      </c>
      <c r="U20" s="92">
        <v>0</v>
      </c>
      <c r="V20" s="27" t="s">
        <v>22</v>
      </c>
      <c r="W20" s="94" t="s">
        <v>20</v>
      </c>
    </row>
    <row r="21" spans="1:23" ht="12" customHeight="1">
      <c r="A21" s="19" t="s">
        <v>20</v>
      </c>
      <c r="B21" s="20" t="s">
        <v>21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55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2"/>
        <v>0</v>
      </c>
      <c r="T21" s="31">
        <v>400</v>
      </c>
      <c r="U21" s="92">
        <v>0</v>
      </c>
      <c r="V21" s="27" t="s">
        <v>23</v>
      </c>
      <c r="W21" s="94" t="s">
        <v>20</v>
      </c>
    </row>
    <row r="22" spans="1:23" ht="12" customHeight="1">
      <c r="A22" s="19" t="s">
        <v>20</v>
      </c>
      <c r="B22" s="20" t="s">
        <v>21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55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2"/>
        <v>0</v>
      </c>
      <c r="T22" s="22">
        <v>1492</v>
      </c>
      <c r="U22" s="92">
        <v>0</v>
      </c>
      <c r="V22" s="27" t="s">
        <v>21</v>
      </c>
      <c r="W22" s="94" t="s">
        <v>20</v>
      </c>
    </row>
    <row r="23" spans="1:23" ht="12" customHeight="1">
      <c r="A23" s="19" t="s">
        <v>20</v>
      </c>
      <c r="B23" s="20" t="s">
        <v>21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55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2"/>
        <v>0</v>
      </c>
      <c r="T23" s="31">
        <v>400</v>
      </c>
      <c r="U23" s="92">
        <v>0</v>
      </c>
      <c r="V23" s="75" t="s">
        <v>23</v>
      </c>
      <c r="W23" s="94" t="s">
        <v>20</v>
      </c>
    </row>
    <row r="24" spans="1:23" ht="12" customHeight="1">
      <c r="A24" s="19" t="s">
        <v>20</v>
      </c>
      <c r="B24" s="20" t="s">
        <v>21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55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2"/>
        <v>0</v>
      </c>
      <c r="T24" s="31">
        <v>400</v>
      </c>
      <c r="U24" s="92">
        <v>0</v>
      </c>
      <c r="V24" s="75" t="s">
        <v>23</v>
      </c>
      <c r="W24" s="94" t="s">
        <v>20</v>
      </c>
    </row>
    <row r="25" spans="1:23" ht="12" customHeight="1">
      <c r="A25" s="19" t="s">
        <v>20</v>
      </c>
      <c r="B25" s="20" t="s">
        <v>21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55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2"/>
        <v>0</v>
      </c>
      <c r="T25" s="31">
        <v>400</v>
      </c>
      <c r="U25" s="92">
        <v>0</v>
      </c>
      <c r="V25" s="75" t="s">
        <v>23</v>
      </c>
      <c r="W25" s="94" t="s">
        <v>20</v>
      </c>
    </row>
    <row r="26" spans="1:23" ht="12" customHeight="1">
      <c r="A26" s="151" t="s">
        <v>24</v>
      </c>
      <c r="B26" s="132"/>
      <c r="C26" s="32"/>
      <c r="D26" s="32"/>
      <c r="E26" s="33">
        <f>SUM(E8:E25)</f>
        <v>6750</v>
      </c>
      <c r="F26" s="32"/>
      <c r="G26" s="34">
        <f t="shared" ref="G26:I26" si="6">SUM(G8:G25)</f>
        <v>1110</v>
      </c>
      <c r="H26" s="27">
        <f t="shared" si="6"/>
        <v>1190</v>
      </c>
      <c r="I26" s="27">
        <f t="shared" si="6"/>
        <v>950</v>
      </c>
      <c r="J26" s="32"/>
      <c r="K26" s="69"/>
      <c r="L26" s="156"/>
      <c r="M26" s="69"/>
      <c r="N26" s="70"/>
      <c r="O26" s="25">
        <f>SUM(O8:O25)</f>
        <v>950</v>
      </c>
      <c r="P26" s="34">
        <f t="shared" ref="P26:Q26" si="7">SUM(P8:P25)</f>
        <v>860</v>
      </c>
      <c r="Q26" s="25">
        <f t="shared" si="7"/>
        <v>1140</v>
      </c>
      <c r="R26" s="27"/>
      <c r="S26" s="95">
        <f>SUM(S8:S25)</f>
        <v>6250</v>
      </c>
      <c r="T26" s="95"/>
      <c r="U26" s="34"/>
      <c r="V26" s="69"/>
      <c r="W26" s="96"/>
    </row>
    <row r="27" spans="1:23" ht="12" customHeight="1">
      <c r="A27" s="35" t="s">
        <v>25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52"/>
      <c r="B28" s="153"/>
      <c r="C28" s="38"/>
      <c r="D28" s="38"/>
      <c r="E28" s="38"/>
      <c r="F28" s="38"/>
      <c r="G28" s="39"/>
      <c r="H28" s="40"/>
      <c r="I28" s="118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37"/>
      <c r="W29" s="138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39" t="s">
        <v>15</v>
      </c>
      <c r="J30" s="126"/>
      <c r="K30" s="139" t="s">
        <v>16</v>
      </c>
      <c r="L30" s="126"/>
      <c r="M30" s="139" t="s">
        <v>17</v>
      </c>
      <c r="N30" s="124"/>
      <c r="O30" s="126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29</v>
      </c>
      <c r="G31" s="47" t="s">
        <v>30</v>
      </c>
      <c r="H31" s="48"/>
      <c r="I31" s="140">
        <f>G26+O26</f>
        <v>2060</v>
      </c>
      <c r="J31" s="132"/>
      <c r="K31" s="141">
        <f>H26+P26</f>
        <v>2050</v>
      </c>
      <c r="L31" s="132"/>
      <c r="M31" s="140">
        <f>I26+Q26</f>
        <v>2090</v>
      </c>
      <c r="N31" s="136"/>
      <c r="O31" s="132"/>
      <c r="P31" s="135"/>
      <c r="Q31" s="132"/>
      <c r="R31" s="20"/>
      <c r="S31" s="142" t="s">
        <v>31</v>
      </c>
      <c r="T31" s="143"/>
      <c r="U31" s="143"/>
      <c r="V31" s="143"/>
      <c r="W31" s="144"/>
    </row>
    <row r="32" spans="1:23" ht="12" customHeight="1">
      <c r="A32" s="6"/>
      <c r="G32" s="131" t="s">
        <v>32</v>
      </c>
      <c r="H32" s="132"/>
      <c r="I32" s="76"/>
      <c r="J32" s="77"/>
      <c r="K32" s="78"/>
      <c r="L32" s="77"/>
      <c r="M32" s="78"/>
      <c r="N32" s="2"/>
      <c r="O32" s="77"/>
      <c r="P32" s="133">
        <v>500</v>
      </c>
      <c r="Q32" s="132"/>
      <c r="R32" s="20"/>
      <c r="S32" s="100"/>
      <c r="T32" s="100"/>
      <c r="U32" s="100"/>
      <c r="V32" s="101"/>
      <c r="W32" s="96"/>
    </row>
    <row r="33" spans="1:23" ht="12" customHeight="1">
      <c r="A33" s="49" t="s">
        <v>33</v>
      </c>
      <c r="G33" s="47" t="s">
        <v>34</v>
      </c>
      <c r="H33" s="48"/>
      <c r="I33" s="79"/>
      <c r="J33" s="20"/>
      <c r="K33" s="75"/>
      <c r="L33" s="20"/>
      <c r="M33" s="75"/>
      <c r="N33" s="80"/>
      <c r="O33" s="20"/>
      <c r="P33" s="134">
        <f>I31+K31+M31+P32</f>
        <v>6700</v>
      </c>
      <c r="Q33" s="132"/>
      <c r="R33" s="20" t="s">
        <v>35</v>
      </c>
      <c r="S33" s="20"/>
      <c r="T33" s="20"/>
      <c r="U33" s="20"/>
      <c r="V33" s="101"/>
      <c r="W33" s="96"/>
    </row>
    <row r="34" spans="1:23" ht="12" customHeight="1">
      <c r="A34" s="6" t="s">
        <v>36</v>
      </c>
      <c r="G34" s="47" t="s">
        <v>37</v>
      </c>
      <c r="H34" s="48"/>
      <c r="I34" s="135"/>
      <c r="J34" s="132"/>
      <c r="K34" s="135"/>
      <c r="L34" s="132"/>
      <c r="M34" s="135"/>
      <c r="N34" s="136"/>
      <c r="O34" s="132"/>
      <c r="P34" s="133">
        <v>0.8</v>
      </c>
      <c r="Q34" s="132"/>
      <c r="R34" s="20" t="s">
        <v>38</v>
      </c>
      <c r="S34" s="20"/>
      <c r="T34" s="20"/>
      <c r="U34" s="20"/>
      <c r="V34" s="101"/>
      <c r="W34" s="96"/>
    </row>
    <row r="35" spans="1:23" ht="12" customHeight="1">
      <c r="A35" s="6"/>
      <c r="G35" s="123" t="s">
        <v>39</v>
      </c>
      <c r="H35" s="124"/>
      <c r="I35" s="124"/>
      <c r="J35" s="81"/>
      <c r="K35" s="82"/>
      <c r="L35" s="81"/>
      <c r="M35" s="82"/>
      <c r="N35" s="83"/>
      <c r="O35" s="81"/>
      <c r="P35" s="125">
        <f>P33/P34</f>
        <v>8375</v>
      </c>
      <c r="Q35" s="126"/>
      <c r="R35" s="81" t="s">
        <v>40</v>
      </c>
      <c r="S35" s="81"/>
      <c r="T35" s="81"/>
      <c r="U35" s="81"/>
      <c r="V35" s="102"/>
      <c r="W35" s="103"/>
    </row>
    <row r="36" spans="1:23" ht="12" customHeight="1">
      <c r="A36" s="50"/>
      <c r="B36" s="51"/>
      <c r="C36" s="51"/>
      <c r="D36" s="51"/>
      <c r="E36" s="51"/>
      <c r="F36" s="51"/>
      <c r="G36" s="52" t="s">
        <v>41</v>
      </c>
      <c r="H36" s="53"/>
      <c r="I36" s="127"/>
      <c r="J36" s="128"/>
      <c r="K36" s="127"/>
      <c r="L36" s="128"/>
      <c r="M36" s="127"/>
      <c r="N36" s="129"/>
      <c r="O36" s="128"/>
      <c r="P36" s="130">
        <f>ROUNDUP(P33/575,1)</f>
        <v>11.7</v>
      </c>
      <c r="Q36" s="128"/>
      <c r="R36" s="104" t="s">
        <v>42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A1:W1"/>
    <mergeCell ref="B2:D2"/>
    <mergeCell ref="B3:D3"/>
    <mergeCell ref="B4:D4"/>
    <mergeCell ref="Q4:R4"/>
    <mergeCell ref="G6:I6"/>
    <mergeCell ref="J6:N6"/>
    <mergeCell ref="O6:Q6"/>
    <mergeCell ref="A26:B26"/>
    <mergeCell ref="A28:B28"/>
    <mergeCell ref="L8:L26"/>
    <mergeCell ref="V29:W29"/>
    <mergeCell ref="I30:J30"/>
    <mergeCell ref="K30:L30"/>
    <mergeCell ref="M30:O30"/>
    <mergeCell ref="I31:J31"/>
    <mergeCell ref="K31:L31"/>
    <mergeCell ref="M31:O31"/>
    <mergeCell ref="P31:Q31"/>
    <mergeCell ref="S31:W31"/>
    <mergeCell ref="G32:H32"/>
    <mergeCell ref="P32:Q32"/>
    <mergeCell ref="P33:Q33"/>
    <mergeCell ref="I34:J34"/>
    <mergeCell ref="K34:L34"/>
    <mergeCell ref="M34:O34"/>
    <mergeCell ref="P34:Q34"/>
    <mergeCell ref="G35:I35"/>
    <mergeCell ref="P35:Q35"/>
    <mergeCell ref="I36:J36"/>
    <mergeCell ref="K36:L36"/>
    <mergeCell ref="M36:O36"/>
    <mergeCell ref="P36:Q36"/>
  </mergeCells>
  <pageMargins left="0.74803149606299202" right="0.74803149606299202" top="0.98425196850393704" bottom="0.98425196850393704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0"/>
  <sheetViews>
    <sheetView tabSelected="1" zoomScaleNormal="100" workbookViewId="0">
      <selection activeCell="W9" sqref="W9"/>
    </sheetView>
  </sheetViews>
  <sheetFormatPr defaultColWidth="16.6640625" defaultRowHeight="15" customHeight="1"/>
  <cols>
    <col min="1" max="1" width="27.109375" customWidth="1"/>
    <col min="2" max="2" width="7.6640625" customWidth="1"/>
    <col min="3" max="3" width="5.6640625" customWidth="1"/>
    <col min="4" max="4" width="6.33203125" customWidth="1"/>
    <col min="5" max="9" width="7.6640625" customWidth="1"/>
    <col min="10" max="10" width="2.44140625" customWidth="1"/>
    <col min="11" max="11" width="3.6640625" customWidth="1"/>
    <col min="12" max="12" width="7.109375" customWidth="1"/>
    <col min="13" max="13" width="3.6640625" customWidth="1"/>
    <col min="14" max="14" width="2.44140625" customWidth="1"/>
    <col min="15" max="19" width="7.6640625" customWidth="1"/>
    <col min="20" max="21" width="5.6640625" customWidth="1"/>
    <col min="22" max="22" width="7.6640625" customWidth="1"/>
    <col min="23" max="23" width="25.44140625" customWidth="1"/>
    <col min="24" max="24" width="8.6640625" customWidth="1"/>
  </cols>
  <sheetData>
    <row r="1" spans="1:23" ht="12" customHeight="1">
      <c r="A1" s="157" t="s">
        <v>60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9"/>
    </row>
    <row r="2" spans="1:23" ht="12" customHeight="1">
      <c r="A2" s="1" t="s">
        <v>0</v>
      </c>
      <c r="B2" s="160" t="s">
        <v>73</v>
      </c>
      <c r="C2" s="136"/>
      <c r="D2" s="136"/>
      <c r="E2" s="3"/>
      <c r="F2" s="3"/>
      <c r="G2" s="4"/>
      <c r="H2" s="5"/>
      <c r="I2" s="5"/>
      <c r="J2" s="42"/>
      <c r="K2" s="5"/>
      <c r="L2" s="5"/>
      <c r="M2" s="5"/>
      <c r="N2" s="54"/>
      <c r="O2" s="5"/>
      <c r="P2" s="55" t="s">
        <v>1</v>
      </c>
      <c r="Q2" s="3" t="s">
        <v>75</v>
      </c>
      <c r="R2" s="3"/>
      <c r="S2" s="3"/>
      <c r="T2" s="3"/>
      <c r="U2" s="3"/>
      <c r="V2" s="84"/>
      <c r="W2" s="85"/>
    </row>
    <row r="3" spans="1:23" ht="12" customHeight="1">
      <c r="A3" s="1" t="s">
        <v>2</v>
      </c>
      <c r="B3" s="160" t="s">
        <v>3</v>
      </c>
      <c r="C3" s="136"/>
      <c r="D3" s="136"/>
      <c r="E3" s="3"/>
      <c r="F3" s="3"/>
      <c r="G3" s="4"/>
      <c r="H3" s="3"/>
      <c r="I3" s="3"/>
      <c r="J3" s="56"/>
      <c r="K3" s="3"/>
      <c r="L3" s="3"/>
      <c r="M3" s="3"/>
      <c r="N3" s="57"/>
      <c r="O3" s="3"/>
      <c r="P3" s="55" t="s">
        <v>4</v>
      </c>
      <c r="Q3" s="3" t="s">
        <v>61</v>
      </c>
      <c r="R3" s="3"/>
      <c r="S3" s="3"/>
      <c r="T3" s="3"/>
      <c r="U3" s="3"/>
      <c r="V3" s="3"/>
      <c r="W3" s="86"/>
    </row>
    <row r="4" spans="1:23" ht="12" customHeight="1">
      <c r="A4" s="6" t="s">
        <v>5</v>
      </c>
      <c r="B4" s="161"/>
      <c r="C4" s="124"/>
      <c r="D4" s="124"/>
      <c r="E4" s="7"/>
      <c r="F4" s="5"/>
      <c r="G4" s="8"/>
      <c r="H4" s="5"/>
      <c r="I4" s="5"/>
      <c r="J4" s="42"/>
      <c r="K4" s="5"/>
      <c r="L4" s="5"/>
      <c r="M4" s="5"/>
      <c r="N4" s="54"/>
      <c r="O4" s="5"/>
      <c r="P4" s="5" t="s">
        <v>6</v>
      </c>
      <c r="Q4" s="161" t="s">
        <v>74</v>
      </c>
      <c r="R4" s="124"/>
      <c r="S4" s="5"/>
      <c r="T4" s="5"/>
      <c r="U4" s="5"/>
      <c r="V4" s="5"/>
      <c r="W4" s="85"/>
    </row>
    <row r="5" spans="1:23" ht="12" customHeight="1">
      <c r="A5" s="9"/>
      <c r="G5" s="10"/>
      <c r="J5" s="42"/>
      <c r="N5" s="54"/>
      <c r="W5" s="87"/>
    </row>
    <row r="6" spans="1:23" ht="34.5" customHeight="1">
      <c r="A6" s="11" t="s">
        <v>7</v>
      </c>
      <c r="B6" s="12" t="s">
        <v>8</v>
      </c>
      <c r="C6" s="12" t="s">
        <v>9</v>
      </c>
      <c r="D6" s="13" t="s">
        <v>10</v>
      </c>
      <c r="E6" s="13" t="s">
        <v>11</v>
      </c>
      <c r="F6" s="13" t="s">
        <v>12</v>
      </c>
      <c r="G6" s="145" t="s">
        <v>13</v>
      </c>
      <c r="H6" s="146"/>
      <c r="I6" s="147"/>
      <c r="J6" s="148" t="s">
        <v>14</v>
      </c>
      <c r="K6" s="149"/>
      <c r="L6" s="149"/>
      <c r="M6" s="149"/>
      <c r="N6" s="150"/>
      <c r="O6" s="145" t="s">
        <v>13</v>
      </c>
      <c r="P6" s="146"/>
      <c r="Q6" s="147"/>
      <c r="R6" s="13" t="s">
        <v>12</v>
      </c>
      <c r="S6" s="13" t="s">
        <v>11</v>
      </c>
      <c r="T6" s="13" t="s">
        <v>10</v>
      </c>
      <c r="U6" s="12" t="s">
        <v>9</v>
      </c>
      <c r="V6" s="12" t="s">
        <v>8</v>
      </c>
      <c r="W6" s="88" t="s">
        <v>7</v>
      </c>
    </row>
    <row r="7" spans="1:23" ht="12" customHeight="1" thickTop="1">
      <c r="A7" s="14"/>
      <c r="B7" s="15"/>
      <c r="C7" s="16"/>
      <c r="D7" s="16"/>
      <c r="E7" s="16"/>
      <c r="F7" s="16"/>
      <c r="G7" s="17" t="s">
        <v>15</v>
      </c>
      <c r="H7" s="18" t="s">
        <v>16</v>
      </c>
      <c r="I7" s="18" t="s">
        <v>17</v>
      </c>
      <c r="J7" s="58"/>
      <c r="K7" s="59"/>
      <c r="L7" s="60"/>
      <c r="M7" s="60"/>
      <c r="N7" s="61"/>
      <c r="O7" s="62" t="s">
        <v>15</v>
      </c>
      <c r="P7" s="18" t="s">
        <v>16</v>
      </c>
      <c r="Q7" s="89" t="s">
        <v>17</v>
      </c>
      <c r="R7" s="90"/>
      <c r="S7" s="90"/>
      <c r="T7" s="90"/>
      <c r="U7" s="90"/>
      <c r="V7" s="15"/>
      <c r="W7" s="91"/>
    </row>
    <row r="8" spans="1:23" ht="12" customHeight="1">
      <c r="A8" s="119" t="s">
        <v>62</v>
      </c>
      <c r="B8" s="20" t="s">
        <v>21</v>
      </c>
      <c r="C8" s="21">
        <v>1</v>
      </c>
      <c r="D8" s="21">
        <v>1700</v>
      </c>
      <c r="E8" s="22">
        <f t="shared" ref="E8:E25" si="0">C8*D8</f>
        <v>1700</v>
      </c>
      <c r="F8" s="23">
        <v>0.8</v>
      </c>
      <c r="G8" s="24">
        <f>E8*F8</f>
        <v>1360</v>
      </c>
      <c r="H8" s="21"/>
      <c r="I8" s="63"/>
      <c r="J8" s="64">
        <v>1</v>
      </c>
      <c r="K8" s="65">
        <v>20</v>
      </c>
      <c r="L8" s="154"/>
      <c r="M8" s="65">
        <v>30</v>
      </c>
      <c r="N8" s="66">
        <v>10</v>
      </c>
      <c r="O8" s="27">
        <f>S8*R8</f>
        <v>1200</v>
      </c>
      <c r="P8" s="27"/>
      <c r="R8" s="23">
        <v>0.4</v>
      </c>
      <c r="S8" s="92">
        <f t="shared" ref="S8" si="1">T8*U8</f>
        <v>3000</v>
      </c>
      <c r="T8" s="28">
        <v>3000</v>
      </c>
      <c r="U8" s="21">
        <v>1</v>
      </c>
      <c r="V8" s="114" t="s">
        <v>22</v>
      </c>
      <c r="W8" s="115" t="s">
        <v>76</v>
      </c>
    </row>
    <row r="9" spans="1:23" ht="12" customHeight="1">
      <c r="A9" s="120" t="s">
        <v>63</v>
      </c>
      <c r="B9" s="20" t="s">
        <v>21</v>
      </c>
      <c r="C9" s="21">
        <v>1</v>
      </c>
      <c r="D9" s="21">
        <v>1700</v>
      </c>
      <c r="E9" s="22">
        <f t="shared" si="0"/>
        <v>1700</v>
      </c>
      <c r="F9" s="23">
        <v>0.8</v>
      </c>
      <c r="G9" s="25"/>
      <c r="H9" s="25">
        <f>E9*F9</f>
        <v>1360</v>
      </c>
      <c r="J9" s="64">
        <v>2</v>
      </c>
      <c r="K9" s="65">
        <v>20</v>
      </c>
      <c r="L9" s="155"/>
      <c r="M9" s="65">
        <v>20</v>
      </c>
      <c r="N9" s="66">
        <v>11</v>
      </c>
      <c r="P9" s="25">
        <f>S9*R9</f>
        <v>1360</v>
      </c>
      <c r="Q9" s="25"/>
      <c r="R9" s="23">
        <v>0.8</v>
      </c>
      <c r="S9" s="92">
        <f t="shared" ref="S9:S25" si="2">T9*U9</f>
        <v>1700</v>
      </c>
      <c r="T9" s="28">
        <v>1700</v>
      </c>
      <c r="U9" s="92">
        <v>1</v>
      </c>
      <c r="V9" s="20" t="s">
        <v>21</v>
      </c>
      <c r="W9" s="26" t="s">
        <v>66</v>
      </c>
    </row>
    <row r="10" spans="1:23" ht="12" customHeight="1">
      <c r="A10" s="121" t="s">
        <v>64</v>
      </c>
      <c r="B10" s="20" t="s">
        <v>21</v>
      </c>
      <c r="C10" s="21">
        <v>1</v>
      </c>
      <c r="D10" s="21">
        <v>1700</v>
      </c>
      <c r="E10" s="22">
        <f t="shared" si="0"/>
        <v>1700</v>
      </c>
      <c r="F10" s="23">
        <v>0.8</v>
      </c>
      <c r="G10" s="25"/>
      <c r="I10" s="25">
        <f>E10*F10</f>
        <v>1360</v>
      </c>
      <c r="J10" s="64">
        <v>3</v>
      </c>
      <c r="K10" s="65">
        <v>20</v>
      </c>
      <c r="L10" s="155"/>
      <c r="M10" s="65">
        <v>20</v>
      </c>
      <c r="N10" s="66">
        <v>12</v>
      </c>
      <c r="Q10" s="25">
        <f>S10*R10</f>
        <v>680</v>
      </c>
      <c r="R10" s="23">
        <v>0.8</v>
      </c>
      <c r="S10" s="92">
        <f t="shared" ref="S10:S13" si="3">T10*U10</f>
        <v>850</v>
      </c>
      <c r="T10" s="28">
        <v>850</v>
      </c>
      <c r="U10" s="92">
        <v>1</v>
      </c>
      <c r="V10" s="20" t="s">
        <v>21</v>
      </c>
      <c r="W10" s="26" t="s">
        <v>67</v>
      </c>
    </row>
    <row r="11" spans="1:23" ht="12" customHeight="1">
      <c r="A11" s="122" t="s">
        <v>68</v>
      </c>
      <c r="B11" s="20" t="s">
        <v>21</v>
      </c>
      <c r="C11" s="21">
        <v>1</v>
      </c>
      <c r="D11" s="28">
        <v>2000</v>
      </c>
      <c r="E11" s="22">
        <f t="shared" ref="E11" si="4">C11*D11</f>
        <v>2000</v>
      </c>
      <c r="F11" s="23">
        <v>0.4</v>
      </c>
      <c r="G11" s="25">
        <f>E11*F11</f>
        <v>800</v>
      </c>
      <c r="J11" s="64">
        <v>4</v>
      </c>
      <c r="K11" s="65">
        <v>15</v>
      </c>
      <c r="L11" s="155"/>
      <c r="M11" s="65">
        <v>15</v>
      </c>
      <c r="N11" s="66">
        <v>13</v>
      </c>
      <c r="O11" s="27">
        <f>S11*R11</f>
        <v>800</v>
      </c>
      <c r="P11" s="27"/>
      <c r="R11" s="23">
        <v>0.4</v>
      </c>
      <c r="S11" s="92">
        <f t="shared" si="3"/>
        <v>2000</v>
      </c>
      <c r="T11" s="28">
        <v>2000</v>
      </c>
      <c r="U11" s="92">
        <v>1</v>
      </c>
      <c r="V11" s="114" t="s">
        <v>21</v>
      </c>
      <c r="W11" s="116" t="s">
        <v>69</v>
      </c>
    </row>
    <row r="12" spans="1:23" ht="12" customHeight="1">
      <c r="A12" s="122" t="s">
        <v>71</v>
      </c>
      <c r="B12" s="20" t="s">
        <v>21</v>
      </c>
      <c r="C12" s="21">
        <v>1</v>
      </c>
      <c r="D12" s="28">
        <v>2000</v>
      </c>
      <c r="E12" s="22">
        <f t="shared" ref="E12" si="5">C12*D12</f>
        <v>2000</v>
      </c>
      <c r="F12" s="23">
        <v>0.4</v>
      </c>
      <c r="H12" s="25">
        <f>E12*F12</f>
        <v>800</v>
      </c>
      <c r="J12" s="64">
        <v>5</v>
      </c>
      <c r="K12" s="65">
        <v>15</v>
      </c>
      <c r="L12" s="155"/>
      <c r="M12" s="65">
        <v>15</v>
      </c>
      <c r="N12" s="66">
        <v>14</v>
      </c>
      <c r="O12" s="27"/>
      <c r="P12" s="27">
        <f>R12*S12</f>
        <v>800</v>
      </c>
      <c r="R12" s="23">
        <v>0.4</v>
      </c>
      <c r="S12" s="92">
        <f t="shared" si="3"/>
        <v>2000</v>
      </c>
      <c r="T12" s="28">
        <v>2000</v>
      </c>
      <c r="U12" s="92">
        <v>1</v>
      </c>
      <c r="V12" s="114" t="s">
        <v>21</v>
      </c>
      <c r="W12" s="116" t="s">
        <v>72</v>
      </c>
    </row>
    <row r="13" spans="1:23" ht="12" customHeight="1">
      <c r="A13" s="120" t="s">
        <v>70</v>
      </c>
      <c r="B13" s="20" t="s">
        <v>22</v>
      </c>
      <c r="C13" s="21">
        <v>1</v>
      </c>
      <c r="D13" s="28">
        <v>3000</v>
      </c>
      <c r="E13" s="22">
        <f t="shared" ref="E13" si="6">C13*D13</f>
        <v>3000</v>
      </c>
      <c r="F13" s="23">
        <v>0.4</v>
      </c>
      <c r="I13" s="25">
        <f>E13*F13</f>
        <v>1200</v>
      </c>
      <c r="J13" s="64">
        <v>6</v>
      </c>
      <c r="K13" s="65">
        <v>30</v>
      </c>
      <c r="L13" s="155"/>
      <c r="M13" s="67">
        <v>20</v>
      </c>
      <c r="N13" s="66">
        <v>15</v>
      </c>
      <c r="Q13" s="25">
        <f>S13*R13</f>
        <v>904</v>
      </c>
      <c r="R13" s="23">
        <v>0.8</v>
      </c>
      <c r="S13" s="92">
        <f t="shared" si="3"/>
        <v>1130</v>
      </c>
      <c r="T13" s="28">
        <v>1130</v>
      </c>
      <c r="U13" s="92">
        <v>1</v>
      </c>
      <c r="V13" s="20" t="s">
        <v>21</v>
      </c>
      <c r="W13" s="26" t="s">
        <v>65</v>
      </c>
    </row>
    <row r="14" spans="1:23" ht="12" customHeight="1">
      <c r="A14" s="120" t="s">
        <v>20</v>
      </c>
      <c r="B14" s="20" t="s">
        <v>21</v>
      </c>
      <c r="C14" s="21">
        <v>0</v>
      </c>
      <c r="D14" s="28">
        <v>2000</v>
      </c>
      <c r="E14" s="22">
        <f t="shared" si="0"/>
        <v>0</v>
      </c>
      <c r="F14" s="23">
        <v>0.4</v>
      </c>
      <c r="G14" s="25">
        <f>E14*F14</f>
        <v>0</v>
      </c>
      <c r="H14" s="27"/>
      <c r="I14" s="27"/>
      <c r="J14" s="64">
        <v>7</v>
      </c>
      <c r="K14" s="65">
        <v>20</v>
      </c>
      <c r="L14" s="155"/>
      <c r="M14" s="67">
        <v>20</v>
      </c>
      <c r="N14" s="66">
        <v>16</v>
      </c>
      <c r="O14" s="27">
        <f>S14*R14</f>
        <v>0</v>
      </c>
      <c r="Q14" s="27"/>
      <c r="R14" s="23">
        <v>0.8</v>
      </c>
      <c r="S14" s="92">
        <f t="shared" si="2"/>
        <v>0</v>
      </c>
      <c r="T14" s="28">
        <v>1500</v>
      </c>
      <c r="U14" s="92">
        <v>0</v>
      </c>
      <c r="V14" s="114" t="s">
        <v>21</v>
      </c>
      <c r="W14" s="116" t="s">
        <v>20</v>
      </c>
    </row>
    <row r="15" spans="1:23" ht="12" customHeight="1">
      <c r="A15" s="120" t="s">
        <v>20</v>
      </c>
      <c r="B15" s="20" t="s">
        <v>21</v>
      </c>
      <c r="C15" s="21">
        <v>0</v>
      </c>
      <c r="D15" s="31">
        <v>2000</v>
      </c>
      <c r="E15" s="22">
        <f t="shared" ref="E15:E16" si="7">C15*D15</f>
        <v>0</v>
      </c>
      <c r="F15" s="30">
        <v>0.6</v>
      </c>
      <c r="G15" s="25"/>
      <c r="H15" s="27">
        <f>E15*F15</f>
        <v>0</v>
      </c>
      <c r="J15" s="64">
        <v>8</v>
      </c>
      <c r="K15" s="68">
        <v>20</v>
      </c>
      <c r="L15" s="155"/>
      <c r="M15" s="67">
        <v>30</v>
      </c>
      <c r="N15" s="66">
        <v>17</v>
      </c>
      <c r="P15" s="27">
        <f>S15*R15</f>
        <v>0</v>
      </c>
      <c r="Q15" s="27"/>
      <c r="R15" s="23">
        <v>0.4</v>
      </c>
      <c r="S15" s="92">
        <f t="shared" si="2"/>
        <v>0</v>
      </c>
      <c r="T15" s="28">
        <v>3000</v>
      </c>
      <c r="U15" s="92">
        <v>0</v>
      </c>
      <c r="V15" s="114" t="s">
        <v>22</v>
      </c>
      <c r="W15" s="116" t="s">
        <v>20</v>
      </c>
    </row>
    <row r="16" spans="1:23" ht="12" customHeight="1">
      <c r="A16" s="19" t="s">
        <v>20</v>
      </c>
      <c r="B16" s="20" t="s">
        <v>21</v>
      </c>
      <c r="C16" s="21">
        <v>0</v>
      </c>
      <c r="D16" s="31">
        <v>1200</v>
      </c>
      <c r="E16" s="22">
        <f t="shared" si="7"/>
        <v>0</v>
      </c>
      <c r="F16" s="30">
        <v>1</v>
      </c>
      <c r="G16" s="25"/>
      <c r="I16" s="27">
        <f>E16*F16</f>
        <v>0</v>
      </c>
      <c r="J16" s="64">
        <v>9</v>
      </c>
      <c r="K16" s="68">
        <v>30</v>
      </c>
      <c r="L16" s="155"/>
      <c r="M16" s="67">
        <v>15</v>
      </c>
      <c r="N16" s="66">
        <v>18</v>
      </c>
      <c r="O16" s="27"/>
      <c r="P16" s="27"/>
      <c r="Q16" s="27">
        <f>R16*S16</f>
        <v>0</v>
      </c>
      <c r="R16" s="93">
        <v>1</v>
      </c>
      <c r="S16" s="92">
        <f t="shared" ref="S16" si="8">T16*U16</f>
        <v>0</v>
      </c>
      <c r="T16" s="31">
        <v>400</v>
      </c>
      <c r="U16" s="92">
        <v>0</v>
      </c>
      <c r="V16" s="117" t="s">
        <v>23</v>
      </c>
      <c r="W16" s="94" t="s">
        <v>20</v>
      </c>
    </row>
    <row r="17" spans="1:23" ht="12" customHeight="1">
      <c r="A17" s="120" t="s">
        <v>20</v>
      </c>
      <c r="B17" s="20" t="s">
        <v>19</v>
      </c>
      <c r="C17" s="21">
        <v>0</v>
      </c>
      <c r="D17" s="28">
        <v>250</v>
      </c>
      <c r="E17" s="22">
        <f t="shared" si="0"/>
        <v>0</v>
      </c>
      <c r="F17" s="23">
        <v>0.5</v>
      </c>
      <c r="G17" s="27">
        <f>F17*E17</f>
        <v>0</v>
      </c>
      <c r="H17" s="29"/>
      <c r="I17" s="27"/>
      <c r="J17" s="64"/>
      <c r="K17" s="68">
        <v>30</v>
      </c>
      <c r="L17" s="155"/>
      <c r="M17" s="67">
        <v>30</v>
      </c>
      <c r="N17" s="66"/>
      <c r="O17" s="27">
        <f>S17*R17</f>
        <v>0</v>
      </c>
      <c r="Q17" s="27"/>
      <c r="R17" s="93">
        <v>0.5</v>
      </c>
      <c r="S17" s="92">
        <f t="shared" si="2"/>
        <v>0</v>
      </c>
      <c r="T17" s="22">
        <v>250</v>
      </c>
      <c r="U17" s="21">
        <v>0</v>
      </c>
      <c r="V17" s="20" t="s">
        <v>19</v>
      </c>
      <c r="W17" s="94" t="s">
        <v>20</v>
      </c>
    </row>
    <row r="18" spans="1:23" ht="12" customHeight="1">
      <c r="A18" s="120" t="s">
        <v>20</v>
      </c>
      <c r="B18" s="20" t="s">
        <v>19</v>
      </c>
      <c r="C18" s="21">
        <v>0</v>
      </c>
      <c r="D18" s="28">
        <v>1500</v>
      </c>
      <c r="E18" s="22">
        <f t="shared" si="0"/>
        <v>0</v>
      </c>
      <c r="F18" s="30">
        <v>0.8</v>
      </c>
      <c r="G18" s="25"/>
      <c r="H18" s="27">
        <f>E18*F18</f>
        <v>0</v>
      </c>
      <c r="J18" s="64"/>
      <c r="K18" s="68">
        <v>20</v>
      </c>
      <c r="L18" s="155"/>
      <c r="M18" s="67">
        <v>30</v>
      </c>
      <c r="N18" s="66"/>
      <c r="P18" s="27">
        <f>R18*S18</f>
        <v>0</v>
      </c>
      <c r="Q18" s="27"/>
      <c r="R18" s="93">
        <v>0.4</v>
      </c>
      <c r="S18" s="92">
        <f t="shared" si="2"/>
        <v>0</v>
      </c>
      <c r="T18" s="22">
        <v>6000</v>
      </c>
      <c r="U18" s="21">
        <v>0</v>
      </c>
      <c r="V18" s="20" t="s">
        <v>19</v>
      </c>
      <c r="W18" s="94" t="s">
        <v>20</v>
      </c>
    </row>
    <row r="19" spans="1:23" ht="12" customHeight="1">
      <c r="A19" s="120" t="s">
        <v>20</v>
      </c>
      <c r="B19" s="20" t="s">
        <v>18</v>
      </c>
      <c r="C19" s="21">
        <v>0</v>
      </c>
      <c r="D19" s="28">
        <v>1000</v>
      </c>
      <c r="E19" s="22">
        <f t="shared" si="0"/>
        <v>0</v>
      </c>
      <c r="F19" s="30">
        <v>0.45</v>
      </c>
      <c r="G19" s="25"/>
      <c r="I19" s="27">
        <f>E19*F19</f>
        <v>0</v>
      </c>
      <c r="J19" s="64"/>
      <c r="K19" s="68">
        <v>10</v>
      </c>
      <c r="L19" s="155"/>
      <c r="M19" s="68">
        <v>10</v>
      </c>
      <c r="N19" s="66"/>
      <c r="O19" s="27"/>
      <c r="P19" s="27"/>
      <c r="Q19" s="27">
        <f>R19*S19</f>
        <v>0</v>
      </c>
      <c r="R19" s="93">
        <v>0.7</v>
      </c>
      <c r="S19" s="92">
        <f t="shared" si="2"/>
        <v>0</v>
      </c>
      <c r="T19" s="22">
        <v>60</v>
      </c>
      <c r="U19" s="21">
        <v>0</v>
      </c>
      <c r="V19" s="20" t="s">
        <v>18</v>
      </c>
      <c r="W19" s="94" t="s">
        <v>20</v>
      </c>
    </row>
    <row r="20" spans="1:23" ht="12" customHeight="1">
      <c r="A20" s="120" t="s">
        <v>20</v>
      </c>
      <c r="B20" s="20" t="s">
        <v>21</v>
      </c>
      <c r="C20" s="21">
        <v>0</v>
      </c>
      <c r="D20" s="31">
        <v>1500</v>
      </c>
      <c r="E20" s="22">
        <f t="shared" si="0"/>
        <v>0</v>
      </c>
      <c r="F20" s="30">
        <v>0.8</v>
      </c>
      <c r="G20" s="27">
        <f>E20*F20</f>
        <v>0</v>
      </c>
      <c r="H20" s="27"/>
      <c r="I20" s="27"/>
      <c r="J20" s="64"/>
      <c r="K20" s="68">
        <v>20</v>
      </c>
      <c r="L20" s="155"/>
      <c r="M20" s="68">
        <v>30</v>
      </c>
      <c r="N20" s="64"/>
      <c r="O20" s="27">
        <f>R20*S20</f>
        <v>0</v>
      </c>
      <c r="Q20" s="27"/>
      <c r="R20" s="93">
        <v>0.6</v>
      </c>
      <c r="S20" s="92">
        <f t="shared" si="2"/>
        <v>0</v>
      </c>
      <c r="T20" s="31">
        <v>3000</v>
      </c>
      <c r="U20" s="92">
        <v>0</v>
      </c>
      <c r="V20" s="27" t="s">
        <v>22</v>
      </c>
      <c r="W20" s="94" t="s">
        <v>20</v>
      </c>
    </row>
    <row r="21" spans="1:23" ht="12" customHeight="1">
      <c r="A21" s="120" t="s">
        <v>20</v>
      </c>
      <c r="B21" s="20" t="s">
        <v>21</v>
      </c>
      <c r="C21" s="21">
        <v>0</v>
      </c>
      <c r="D21" s="31">
        <v>2000</v>
      </c>
      <c r="E21" s="22">
        <f t="shared" si="0"/>
        <v>0</v>
      </c>
      <c r="F21" s="30">
        <v>0.6</v>
      </c>
      <c r="G21" s="25"/>
      <c r="H21" s="27">
        <f>E21*F21</f>
        <v>0</v>
      </c>
      <c r="J21" s="64"/>
      <c r="K21" s="68">
        <v>20</v>
      </c>
      <c r="L21" s="155"/>
      <c r="M21" s="68">
        <v>20</v>
      </c>
      <c r="N21" s="66"/>
      <c r="P21" s="27">
        <f>R21*S21</f>
        <v>0</v>
      </c>
      <c r="Q21" s="27"/>
      <c r="R21" s="93">
        <v>1</v>
      </c>
      <c r="S21" s="92">
        <f t="shared" si="2"/>
        <v>0</v>
      </c>
      <c r="T21" s="31">
        <v>400</v>
      </c>
      <c r="U21" s="92">
        <v>0</v>
      </c>
      <c r="V21" s="27" t="s">
        <v>23</v>
      </c>
      <c r="W21" s="94" t="s">
        <v>20</v>
      </c>
    </row>
    <row r="22" spans="1:23" ht="12" customHeight="1">
      <c r="A22" s="120" t="s">
        <v>20</v>
      </c>
      <c r="B22" s="20" t="s">
        <v>21</v>
      </c>
      <c r="C22" s="21">
        <v>0</v>
      </c>
      <c r="D22" s="28">
        <v>1119</v>
      </c>
      <c r="E22" s="22">
        <f t="shared" si="0"/>
        <v>0</v>
      </c>
      <c r="F22" s="23">
        <v>0.8</v>
      </c>
      <c r="G22" s="25"/>
      <c r="I22" s="27">
        <f>E22*F22</f>
        <v>0</v>
      </c>
      <c r="J22" s="64"/>
      <c r="K22" s="68">
        <v>15</v>
      </c>
      <c r="L22" s="155"/>
      <c r="M22" s="68">
        <v>20</v>
      </c>
      <c r="N22" s="66"/>
      <c r="O22" s="27"/>
      <c r="P22" s="27"/>
      <c r="Q22" s="27">
        <f>R22*S22</f>
        <v>0</v>
      </c>
      <c r="R22" s="23">
        <v>0.8</v>
      </c>
      <c r="S22" s="92">
        <f t="shared" si="2"/>
        <v>0</v>
      </c>
      <c r="T22" s="22">
        <v>1492</v>
      </c>
      <c r="U22" s="92">
        <v>0</v>
      </c>
      <c r="V22" s="27" t="s">
        <v>21</v>
      </c>
      <c r="W22" s="94" t="s">
        <v>20</v>
      </c>
    </row>
    <row r="23" spans="1:23" ht="12" customHeight="1">
      <c r="A23" s="120" t="s">
        <v>20</v>
      </c>
      <c r="B23" s="20" t="s">
        <v>21</v>
      </c>
      <c r="C23" s="21">
        <v>0</v>
      </c>
      <c r="D23" s="31">
        <v>1200</v>
      </c>
      <c r="E23" s="22">
        <f t="shared" si="0"/>
        <v>0</v>
      </c>
      <c r="F23" s="30">
        <v>1</v>
      </c>
      <c r="G23" s="27">
        <f>E23*F23</f>
        <v>0</v>
      </c>
      <c r="H23" s="27"/>
      <c r="I23" s="27"/>
      <c r="J23" s="64"/>
      <c r="K23" s="68">
        <v>20</v>
      </c>
      <c r="L23" s="155"/>
      <c r="M23" s="68">
        <v>20</v>
      </c>
      <c r="N23" s="66"/>
      <c r="O23" s="27">
        <f>R23*S23</f>
        <v>0</v>
      </c>
      <c r="Q23" s="27"/>
      <c r="R23" s="93">
        <v>1</v>
      </c>
      <c r="S23" s="92">
        <f t="shared" si="2"/>
        <v>0</v>
      </c>
      <c r="T23" s="31">
        <v>400</v>
      </c>
      <c r="U23" s="92">
        <v>0</v>
      </c>
      <c r="V23" s="75" t="s">
        <v>23</v>
      </c>
      <c r="W23" s="94" t="s">
        <v>20</v>
      </c>
    </row>
    <row r="24" spans="1:23" ht="12" customHeight="1">
      <c r="A24" s="120" t="s">
        <v>20</v>
      </c>
      <c r="B24" s="20" t="s">
        <v>21</v>
      </c>
      <c r="C24" s="21">
        <v>0</v>
      </c>
      <c r="D24" s="31">
        <v>1200</v>
      </c>
      <c r="E24" s="22">
        <f t="shared" si="0"/>
        <v>0</v>
      </c>
      <c r="F24" s="30">
        <v>1</v>
      </c>
      <c r="G24" s="25"/>
      <c r="H24" s="27">
        <f>E24*F24</f>
        <v>0</v>
      </c>
      <c r="J24" s="64"/>
      <c r="K24" s="68">
        <v>20</v>
      </c>
      <c r="L24" s="155"/>
      <c r="M24" s="68">
        <v>20</v>
      </c>
      <c r="N24" s="66"/>
      <c r="P24" s="27">
        <f>R24*S24</f>
        <v>0</v>
      </c>
      <c r="Q24" s="27"/>
      <c r="R24" s="93">
        <v>1</v>
      </c>
      <c r="S24" s="92">
        <f t="shared" si="2"/>
        <v>0</v>
      </c>
      <c r="T24" s="31">
        <v>400</v>
      </c>
      <c r="U24" s="92">
        <v>0</v>
      </c>
      <c r="V24" s="75" t="s">
        <v>23</v>
      </c>
      <c r="W24" s="94" t="s">
        <v>20</v>
      </c>
    </row>
    <row r="25" spans="1:23" ht="12" customHeight="1">
      <c r="A25" s="19" t="s">
        <v>20</v>
      </c>
      <c r="B25" s="20" t="s">
        <v>21</v>
      </c>
      <c r="C25" s="21">
        <v>0</v>
      </c>
      <c r="D25" s="31">
        <v>1200</v>
      </c>
      <c r="E25" s="22">
        <f t="shared" si="0"/>
        <v>0</v>
      </c>
      <c r="F25" s="30">
        <v>1</v>
      </c>
      <c r="G25" s="25"/>
      <c r="I25" s="27">
        <f>E25*F25</f>
        <v>0</v>
      </c>
      <c r="J25" s="64"/>
      <c r="K25" s="68">
        <v>20</v>
      </c>
      <c r="L25" s="155"/>
      <c r="M25" s="68">
        <v>20</v>
      </c>
      <c r="N25" s="66"/>
      <c r="O25" s="27"/>
      <c r="P25" s="27"/>
      <c r="Q25" s="27">
        <f>R25*S25</f>
        <v>0</v>
      </c>
      <c r="R25" s="93">
        <v>1</v>
      </c>
      <c r="S25" s="92">
        <f t="shared" si="2"/>
        <v>0</v>
      </c>
      <c r="T25" s="31">
        <v>400</v>
      </c>
      <c r="U25" s="92">
        <v>0</v>
      </c>
      <c r="V25" s="75" t="s">
        <v>23</v>
      </c>
      <c r="W25" s="94" t="s">
        <v>20</v>
      </c>
    </row>
    <row r="26" spans="1:23" ht="12" customHeight="1">
      <c r="A26" s="151" t="s">
        <v>24</v>
      </c>
      <c r="B26" s="132"/>
      <c r="C26" s="32"/>
      <c r="D26" s="32"/>
      <c r="E26" s="33">
        <f>SUM(E8:E25)</f>
        <v>12100</v>
      </c>
      <c r="F26" s="32"/>
      <c r="G26" s="34">
        <f t="shared" ref="G26:I26" si="9">SUM(G8:G25)</f>
        <v>2160</v>
      </c>
      <c r="H26" s="27">
        <f t="shared" si="9"/>
        <v>2160</v>
      </c>
      <c r="I26" s="27">
        <f t="shared" si="9"/>
        <v>2560</v>
      </c>
      <c r="J26" s="32"/>
      <c r="K26" s="69"/>
      <c r="L26" s="156"/>
      <c r="M26" s="69"/>
      <c r="N26" s="70"/>
      <c r="O26" s="25">
        <f>SUM(O8:O25)</f>
        <v>2000</v>
      </c>
      <c r="P26" s="34">
        <f t="shared" ref="P26:Q26" si="10">SUM(P8:P25)</f>
        <v>2160</v>
      </c>
      <c r="Q26" s="25">
        <f t="shared" si="10"/>
        <v>1584</v>
      </c>
      <c r="R26" s="27"/>
      <c r="S26" s="95">
        <f>SUM(S8:S25)</f>
        <v>10680</v>
      </c>
      <c r="T26" s="95"/>
      <c r="U26" s="34"/>
      <c r="V26" s="69"/>
      <c r="W26" s="96"/>
    </row>
    <row r="27" spans="1:23" ht="12" customHeight="1">
      <c r="A27" s="35" t="s">
        <v>43</v>
      </c>
      <c r="B27" s="32"/>
      <c r="C27" s="32"/>
      <c r="D27" s="32"/>
      <c r="E27" s="32"/>
      <c r="F27" s="32"/>
      <c r="G27" s="36"/>
      <c r="H27" s="37"/>
      <c r="I27" s="37"/>
      <c r="J27" s="32"/>
      <c r="K27" s="71"/>
      <c r="L27" s="71"/>
      <c r="M27" s="71" t="s">
        <v>26</v>
      </c>
      <c r="N27" s="70"/>
      <c r="O27" s="71"/>
      <c r="P27" s="71"/>
      <c r="Q27" s="71"/>
      <c r="R27" s="37"/>
      <c r="S27" s="71"/>
      <c r="T27" s="71"/>
      <c r="U27" s="37"/>
      <c r="V27" s="71"/>
      <c r="W27" s="96"/>
    </row>
    <row r="28" spans="1:23" ht="12" customHeight="1" thickBot="1">
      <c r="A28" s="152"/>
      <c r="B28" s="153"/>
      <c r="C28" s="38"/>
      <c r="D28" s="38"/>
      <c r="E28" s="38"/>
      <c r="F28" s="38"/>
      <c r="G28" s="39"/>
      <c r="H28" s="40"/>
      <c r="I28" s="118"/>
      <c r="J28" s="38"/>
      <c r="K28" s="72"/>
      <c r="L28" s="72"/>
      <c r="M28" s="72"/>
      <c r="N28" s="73"/>
      <c r="O28" s="72"/>
      <c r="P28" s="72"/>
      <c r="Q28" s="72"/>
      <c r="R28" s="72"/>
      <c r="S28" s="72"/>
      <c r="T28" s="72"/>
      <c r="U28" s="40"/>
      <c r="V28" s="72"/>
      <c r="W28" s="97"/>
    </row>
    <row r="29" spans="1:23" ht="12" customHeight="1" thickTop="1">
      <c r="A29" s="41"/>
      <c r="B29" s="42"/>
      <c r="C29" s="42"/>
      <c r="D29" s="42"/>
      <c r="E29" s="42"/>
      <c r="F29" s="42"/>
      <c r="G29" s="10"/>
      <c r="J29" s="42"/>
      <c r="N29" s="54"/>
      <c r="O29" s="74"/>
      <c r="P29" s="74"/>
      <c r="Q29" s="74"/>
      <c r="V29" s="137"/>
      <c r="W29" s="138"/>
    </row>
    <row r="30" spans="1:23" ht="12" customHeight="1">
      <c r="A30" s="43" t="s">
        <v>27</v>
      </c>
      <c r="B30" s="44"/>
      <c r="C30" s="44"/>
      <c r="D30" s="44"/>
      <c r="E30" s="44"/>
      <c r="F30" s="44"/>
      <c r="G30" s="45"/>
      <c r="H30" s="44"/>
      <c r="I30" s="139" t="s">
        <v>15</v>
      </c>
      <c r="J30" s="126"/>
      <c r="K30" s="139" t="s">
        <v>16</v>
      </c>
      <c r="L30" s="126"/>
      <c r="M30" s="139" t="s">
        <v>17</v>
      </c>
      <c r="N30" s="124"/>
      <c r="O30" s="126"/>
      <c r="P30" s="75"/>
      <c r="Q30" s="20"/>
      <c r="R30" s="20"/>
      <c r="S30" s="98" t="s">
        <v>28</v>
      </c>
      <c r="T30" s="98"/>
      <c r="U30" s="98"/>
      <c r="V30" s="20"/>
      <c r="W30" s="99"/>
    </row>
    <row r="31" spans="1:23" ht="12" customHeight="1">
      <c r="A31" s="46" t="s">
        <v>44</v>
      </c>
      <c r="G31" s="47" t="s">
        <v>30</v>
      </c>
      <c r="H31" s="48"/>
      <c r="I31" s="140">
        <f>G26+O26</f>
        <v>4160</v>
      </c>
      <c r="J31" s="132"/>
      <c r="K31" s="141">
        <f>H26+P26</f>
        <v>4320</v>
      </c>
      <c r="L31" s="132"/>
      <c r="M31" s="140">
        <f>I26+Q26</f>
        <v>4144</v>
      </c>
      <c r="N31" s="136"/>
      <c r="O31" s="132"/>
      <c r="P31" s="135"/>
      <c r="Q31" s="132"/>
      <c r="R31" s="20"/>
      <c r="S31" s="142" t="s">
        <v>45</v>
      </c>
      <c r="T31" s="143"/>
      <c r="U31" s="143"/>
      <c r="V31" s="143"/>
      <c r="W31" s="144"/>
    </row>
    <row r="32" spans="1:23" ht="12" customHeight="1">
      <c r="A32" s="6"/>
      <c r="G32" s="131" t="s">
        <v>32</v>
      </c>
      <c r="H32" s="132"/>
      <c r="I32" s="76"/>
      <c r="J32" s="77"/>
      <c r="K32" s="78"/>
      <c r="L32" s="77"/>
      <c r="M32" s="78"/>
      <c r="N32" s="2"/>
      <c r="O32" s="77"/>
      <c r="P32" s="133">
        <v>500</v>
      </c>
      <c r="Q32" s="132"/>
      <c r="R32" s="20"/>
      <c r="S32" s="100"/>
      <c r="T32" s="100"/>
      <c r="U32" s="100"/>
      <c r="V32" s="101"/>
      <c r="W32" s="96"/>
    </row>
    <row r="33" spans="1:23" ht="12" customHeight="1">
      <c r="A33" s="49" t="s">
        <v>33</v>
      </c>
      <c r="G33" s="47" t="s">
        <v>34</v>
      </c>
      <c r="H33" s="48"/>
      <c r="I33" s="79"/>
      <c r="J33" s="20"/>
      <c r="K33" s="75"/>
      <c r="L33" s="20"/>
      <c r="M33" s="75"/>
      <c r="N33" s="80"/>
      <c r="O33" s="20"/>
      <c r="P33" s="134">
        <f>I31+K31+M31+P32</f>
        <v>13124</v>
      </c>
      <c r="Q33" s="132"/>
      <c r="R33" s="20" t="s">
        <v>35</v>
      </c>
      <c r="S33" s="20"/>
      <c r="T33" s="20"/>
      <c r="U33" s="20"/>
      <c r="V33" s="101"/>
      <c r="W33" s="96"/>
    </row>
    <row r="34" spans="1:23" ht="12" customHeight="1">
      <c r="A34" s="6" t="s">
        <v>36</v>
      </c>
      <c r="G34" s="47" t="s">
        <v>37</v>
      </c>
      <c r="H34" s="48"/>
      <c r="I34" s="135"/>
      <c r="J34" s="132"/>
      <c r="K34" s="135"/>
      <c r="L34" s="132"/>
      <c r="M34" s="135"/>
      <c r="N34" s="136"/>
      <c r="O34" s="132"/>
      <c r="P34" s="133">
        <v>0.8</v>
      </c>
      <c r="Q34" s="132"/>
      <c r="R34" s="20" t="s">
        <v>38</v>
      </c>
      <c r="S34" s="20"/>
      <c r="T34" s="20"/>
      <c r="U34" s="20"/>
      <c r="V34" s="101"/>
      <c r="W34" s="96"/>
    </row>
    <row r="35" spans="1:23" ht="12" customHeight="1">
      <c r="A35" s="6"/>
      <c r="G35" s="123" t="s">
        <v>39</v>
      </c>
      <c r="H35" s="124"/>
      <c r="I35" s="124"/>
      <c r="J35" s="81"/>
      <c r="K35" s="82"/>
      <c r="L35" s="81"/>
      <c r="M35" s="82"/>
      <c r="N35" s="83"/>
      <c r="O35" s="81"/>
      <c r="P35" s="125">
        <f>P33/P34</f>
        <v>16405</v>
      </c>
      <c r="Q35" s="126"/>
      <c r="R35" s="81" t="s">
        <v>40</v>
      </c>
      <c r="S35" s="81"/>
      <c r="T35" s="81"/>
      <c r="U35" s="81"/>
      <c r="V35" s="102"/>
      <c r="W35" s="103"/>
    </row>
    <row r="36" spans="1:23" ht="12" customHeight="1">
      <c r="A36" s="50"/>
      <c r="B36" s="51"/>
      <c r="C36" s="51"/>
      <c r="D36" s="51"/>
      <c r="E36" s="51"/>
      <c r="F36" s="51"/>
      <c r="G36" s="52" t="s">
        <v>41</v>
      </c>
      <c r="H36" s="53"/>
      <c r="I36" s="127"/>
      <c r="J36" s="128"/>
      <c r="K36" s="127"/>
      <c r="L36" s="128"/>
      <c r="M36" s="127"/>
      <c r="N36" s="129"/>
      <c r="O36" s="128"/>
      <c r="P36" s="130">
        <f>ROUNDUP(P33/575,1)</f>
        <v>22.900000000000002</v>
      </c>
      <c r="Q36" s="128"/>
      <c r="R36" s="104" t="s">
        <v>42</v>
      </c>
      <c r="S36" s="104"/>
      <c r="T36" s="104"/>
      <c r="U36" s="104"/>
      <c r="V36" s="105"/>
      <c r="W36" s="106"/>
    </row>
    <row r="37" spans="1:23" ht="12" customHeight="1">
      <c r="A37" s="9"/>
      <c r="G37" s="10"/>
      <c r="J37" s="42"/>
      <c r="N37" s="54"/>
      <c r="R37" s="29"/>
      <c r="W37" s="87"/>
    </row>
    <row r="38" spans="1:23" ht="12" customHeigh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07"/>
    </row>
    <row r="39" spans="1:23" ht="12" customHeight="1"/>
    <row r="40" spans="1:23" ht="12" customHeight="1"/>
    <row r="41" spans="1:23" ht="12" customHeight="1"/>
    <row r="42" spans="1:23" ht="34.5" customHeight="1"/>
    <row r="43" spans="1:23" ht="12" customHeight="1"/>
    <row r="44" spans="1:23" ht="12" customHeight="1"/>
    <row r="45" spans="1:23" ht="12" customHeight="1"/>
    <row r="46" spans="1:23" ht="12" customHeight="1"/>
    <row r="47" spans="1:23" ht="12" customHeight="1"/>
    <row r="48" spans="1:23" ht="12" customHeight="1"/>
    <row r="49" spans="7:18" ht="12" customHeight="1">
      <c r="G49" s="10"/>
      <c r="J49" s="42"/>
      <c r="N49" s="54"/>
      <c r="R49" s="29"/>
    </row>
    <row r="50" spans="7:18" ht="12" customHeight="1">
      <c r="G50" s="10"/>
      <c r="J50" s="42"/>
      <c r="N50" s="54"/>
      <c r="R50" s="29"/>
    </row>
    <row r="51" spans="7:18" ht="12" customHeight="1">
      <c r="G51" s="10"/>
      <c r="J51" s="42"/>
      <c r="N51" s="54"/>
      <c r="R51" s="29"/>
    </row>
    <row r="52" spans="7:18" ht="12" customHeight="1">
      <c r="G52" s="10"/>
      <c r="J52" s="42"/>
      <c r="N52" s="54"/>
      <c r="R52" s="29"/>
    </row>
    <row r="53" spans="7:18" ht="12" customHeight="1">
      <c r="G53" s="10"/>
      <c r="J53" s="42"/>
      <c r="N53" s="54"/>
      <c r="R53" s="29"/>
    </row>
    <row r="54" spans="7:18" ht="12" customHeight="1">
      <c r="G54" s="10"/>
      <c r="J54" s="42"/>
      <c r="N54" s="54"/>
      <c r="R54" s="29"/>
    </row>
    <row r="55" spans="7:18" ht="12" customHeight="1">
      <c r="G55" s="10"/>
      <c r="J55" s="42"/>
      <c r="N55" s="54"/>
      <c r="R55" s="29"/>
    </row>
    <row r="56" spans="7:18" ht="12" customHeight="1">
      <c r="G56" s="10"/>
      <c r="J56" s="42"/>
      <c r="N56" s="54"/>
      <c r="R56" s="29"/>
    </row>
    <row r="57" spans="7:18" ht="12" customHeight="1">
      <c r="G57" s="10"/>
      <c r="J57" s="42"/>
      <c r="N57" s="54"/>
      <c r="R57" s="29"/>
    </row>
    <row r="58" spans="7:18" ht="12" customHeight="1">
      <c r="G58" s="10"/>
      <c r="J58" s="42"/>
      <c r="N58" s="54"/>
      <c r="R58" s="29"/>
    </row>
    <row r="59" spans="7:18" ht="12" customHeight="1">
      <c r="G59" s="10"/>
      <c r="J59" s="42"/>
      <c r="N59" s="54"/>
      <c r="R59" s="29"/>
    </row>
    <row r="60" spans="7:18" ht="12" customHeight="1">
      <c r="G60" s="10"/>
      <c r="J60" s="42"/>
      <c r="N60" s="54"/>
      <c r="R60" s="29"/>
    </row>
    <row r="61" spans="7:18" ht="12" customHeight="1">
      <c r="G61" s="10"/>
      <c r="J61" s="42"/>
      <c r="N61" s="54"/>
      <c r="R61" s="29"/>
    </row>
    <row r="62" spans="7:18" ht="12" customHeight="1">
      <c r="G62" s="10"/>
      <c r="J62" s="42"/>
      <c r="N62" s="54"/>
      <c r="R62" s="29"/>
    </row>
    <row r="63" spans="7:18" ht="12" customHeight="1">
      <c r="G63" s="10"/>
      <c r="J63" s="42"/>
      <c r="N63" s="54"/>
      <c r="R63" s="29"/>
    </row>
    <row r="64" spans="7:18" ht="12" customHeight="1">
      <c r="G64" s="10"/>
      <c r="J64" s="42"/>
      <c r="N64" s="54"/>
      <c r="R64" s="29"/>
    </row>
    <row r="65" spans="7:18" ht="12" customHeight="1">
      <c r="G65" s="10"/>
      <c r="J65" s="42"/>
      <c r="N65" s="54"/>
      <c r="R65" s="29"/>
    </row>
    <row r="66" spans="7:18" ht="12" customHeight="1">
      <c r="G66" s="10"/>
      <c r="J66" s="42"/>
      <c r="N66" s="54"/>
      <c r="R66" s="29"/>
    </row>
    <row r="67" spans="7:18" ht="12" customHeight="1">
      <c r="G67" s="10"/>
      <c r="J67" s="42"/>
      <c r="N67" s="54"/>
      <c r="R67" s="29"/>
    </row>
    <row r="68" spans="7:18" ht="12" customHeight="1">
      <c r="G68" s="10"/>
      <c r="J68" s="42"/>
      <c r="N68" s="54"/>
      <c r="R68" s="29"/>
    </row>
    <row r="69" spans="7:18" ht="12" customHeight="1">
      <c r="G69" s="10"/>
      <c r="J69" s="42"/>
      <c r="N69" s="54"/>
      <c r="R69" s="29"/>
    </row>
    <row r="70" spans="7:18" ht="12" customHeight="1">
      <c r="G70" s="10"/>
      <c r="J70" s="42"/>
      <c r="N70" s="54"/>
      <c r="R70" s="29"/>
    </row>
    <row r="71" spans="7:18" ht="12" customHeight="1">
      <c r="G71" s="10"/>
      <c r="J71" s="42"/>
      <c r="N71" s="54"/>
      <c r="R71" s="29"/>
    </row>
    <row r="72" spans="7:18" ht="12" customHeight="1">
      <c r="G72" s="10"/>
      <c r="J72" s="42"/>
      <c r="N72" s="54"/>
      <c r="R72" s="29"/>
    </row>
    <row r="73" spans="7:18" ht="12" customHeight="1">
      <c r="G73" s="10"/>
      <c r="J73" s="42"/>
      <c r="N73" s="54"/>
      <c r="R73" s="29"/>
    </row>
    <row r="74" spans="7:18" ht="12" customHeight="1">
      <c r="G74" s="10"/>
      <c r="J74" s="42"/>
      <c r="N74" s="54"/>
      <c r="R74" s="29"/>
    </row>
    <row r="75" spans="7:18" ht="12" customHeight="1">
      <c r="G75" s="10"/>
      <c r="J75" s="42"/>
      <c r="N75" s="54"/>
      <c r="R75" s="29"/>
    </row>
    <row r="76" spans="7:18" ht="12" customHeight="1">
      <c r="G76" s="10"/>
      <c r="J76" s="42"/>
      <c r="N76" s="54"/>
      <c r="R76" s="29"/>
    </row>
    <row r="77" spans="7:18" ht="12" customHeight="1">
      <c r="G77" s="10"/>
      <c r="J77" s="42"/>
      <c r="N77" s="54"/>
      <c r="R77" s="29"/>
    </row>
    <row r="78" spans="7:18" ht="12" customHeight="1">
      <c r="G78" s="10"/>
      <c r="J78" s="42"/>
      <c r="N78" s="54"/>
      <c r="R78" s="29"/>
    </row>
    <row r="79" spans="7:18" ht="12" customHeight="1">
      <c r="G79" s="10"/>
      <c r="J79" s="42"/>
      <c r="N79" s="54"/>
      <c r="R79" s="29"/>
    </row>
    <row r="80" spans="7:18" ht="12" customHeight="1">
      <c r="G80" s="10"/>
      <c r="J80" s="42"/>
      <c r="N80" s="54"/>
      <c r="R80" s="29"/>
    </row>
    <row r="81" spans="7:18" ht="12" customHeight="1">
      <c r="G81" s="10"/>
      <c r="J81" s="42"/>
      <c r="N81" s="54"/>
      <c r="R81" s="29"/>
    </row>
    <row r="82" spans="7:18" ht="12" customHeight="1">
      <c r="G82" s="10"/>
      <c r="J82" s="42"/>
      <c r="N82" s="54"/>
      <c r="R82" s="29"/>
    </row>
    <row r="83" spans="7:18" ht="12" customHeight="1">
      <c r="G83" s="10"/>
      <c r="J83" s="42"/>
      <c r="N83" s="54"/>
      <c r="R83" s="29"/>
    </row>
    <row r="84" spans="7:18" ht="12" customHeight="1">
      <c r="G84" s="10"/>
      <c r="J84" s="42"/>
      <c r="N84" s="54"/>
      <c r="R84" s="29"/>
    </row>
    <row r="85" spans="7:18" ht="12" customHeight="1">
      <c r="G85" s="10"/>
      <c r="J85" s="42"/>
      <c r="N85" s="54"/>
      <c r="R85" s="29"/>
    </row>
    <row r="86" spans="7:18" ht="12" customHeight="1">
      <c r="G86" s="10"/>
      <c r="J86" s="42"/>
      <c r="N86" s="54"/>
      <c r="R86" s="29"/>
    </row>
    <row r="87" spans="7:18" ht="12" customHeight="1">
      <c r="G87" s="10"/>
      <c r="J87" s="42"/>
      <c r="N87" s="54"/>
      <c r="R87" s="29"/>
    </row>
    <row r="88" spans="7:18" ht="12" customHeight="1">
      <c r="G88" s="10"/>
      <c r="J88" s="42"/>
      <c r="N88" s="54"/>
      <c r="R88" s="29"/>
    </row>
    <row r="89" spans="7:18" ht="12" customHeight="1">
      <c r="G89" s="10"/>
      <c r="J89" s="42"/>
      <c r="N89" s="54"/>
      <c r="R89" s="29"/>
    </row>
    <row r="90" spans="7:18" ht="12" customHeight="1">
      <c r="G90" s="10"/>
      <c r="J90" s="42"/>
      <c r="N90" s="54"/>
      <c r="R90" s="29"/>
    </row>
    <row r="91" spans="7:18" ht="12" customHeight="1">
      <c r="G91" s="10"/>
      <c r="J91" s="42"/>
      <c r="N91" s="54"/>
      <c r="R91" s="29"/>
    </row>
    <row r="92" spans="7:18" ht="12" customHeight="1">
      <c r="G92" s="10"/>
      <c r="J92" s="42"/>
      <c r="N92" s="54"/>
      <c r="R92" s="29"/>
    </row>
    <row r="93" spans="7:18" ht="12" customHeight="1">
      <c r="G93" s="10"/>
      <c r="J93" s="42"/>
      <c r="N93" s="54"/>
      <c r="R93" s="29"/>
    </row>
    <row r="94" spans="7:18" ht="12" customHeight="1">
      <c r="G94" s="10"/>
      <c r="J94" s="42"/>
      <c r="N94" s="54"/>
      <c r="R94" s="29"/>
    </row>
    <row r="95" spans="7:18" ht="12" customHeight="1">
      <c r="G95" s="10"/>
      <c r="J95" s="42"/>
      <c r="N95" s="54"/>
      <c r="R95" s="29"/>
    </row>
    <row r="96" spans="7:18" ht="12" customHeight="1">
      <c r="G96" s="10"/>
      <c r="J96" s="42"/>
      <c r="N96" s="54"/>
      <c r="R96" s="29"/>
    </row>
    <row r="97" spans="7:18" ht="12" customHeight="1">
      <c r="G97" s="10"/>
      <c r="J97" s="42"/>
      <c r="N97" s="54"/>
      <c r="R97" s="29"/>
    </row>
    <row r="98" spans="7:18" ht="12" customHeight="1">
      <c r="G98" s="10"/>
      <c r="J98" s="42"/>
      <c r="N98" s="54"/>
      <c r="R98" s="29"/>
    </row>
    <row r="99" spans="7:18" ht="12" customHeight="1">
      <c r="G99" s="10"/>
      <c r="J99" s="42"/>
      <c r="N99" s="54"/>
      <c r="R99" s="29"/>
    </row>
    <row r="100" spans="7:18" ht="12" customHeight="1">
      <c r="G100" s="10"/>
      <c r="J100" s="42"/>
      <c r="N100" s="54"/>
      <c r="R100" s="29"/>
    </row>
  </sheetData>
  <mergeCells count="33">
    <mergeCell ref="A1:W1"/>
    <mergeCell ref="B2:D2"/>
    <mergeCell ref="B3:D3"/>
    <mergeCell ref="B4:D4"/>
    <mergeCell ref="Q4:R4"/>
    <mergeCell ref="G6:I6"/>
    <mergeCell ref="J6:N6"/>
    <mergeCell ref="O6:Q6"/>
    <mergeCell ref="A26:B26"/>
    <mergeCell ref="A28:B28"/>
    <mergeCell ref="L8:L26"/>
    <mergeCell ref="V29:W29"/>
    <mergeCell ref="I30:J30"/>
    <mergeCell ref="K30:L30"/>
    <mergeCell ref="M30:O30"/>
    <mergeCell ref="I31:J31"/>
    <mergeCell ref="K31:L31"/>
    <mergeCell ref="M31:O31"/>
    <mergeCell ref="P31:Q31"/>
    <mergeCell ref="S31:W31"/>
    <mergeCell ref="G32:H32"/>
    <mergeCell ref="P32:Q32"/>
    <mergeCell ref="P33:Q33"/>
    <mergeCell ref="I34:J34"/>
    <mergeCell ref="K34:L34"/>
    <mergeCell ref="M34:O34"/>
    <mergeCell ref="P34:Q34"/>
    <mergeCell ref="G35:I35"/>
    <mergeCell ref="P35:Q35"/>
    <mergeCell ref="I36:J36"/>
    <mergeCell ref="K36:L36"/>
    <mergeCell ref="M36:O36"/>
    <mergeCell ref="P36:Q36"/>
  </mergeCells>
  <pageMargins left="0.74803149606299202" right="0.74803149606299202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DB-A</vt:lpstr>
      <vt:lpstr>DB-B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Somadina Okoye</cp:lastModifiedBy>
  <dcterms:created xsi:type="dcterms:W3CDTF">2024-04-30T16:57:00Z</dcterms:created>
  <dcterms:modified xsi:type="dcterms:W3CDTF">2025-08-07T09:33:49Z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C1738A70A9D14C3EB70A208AA8CE9590_13</vt:lpwstr>
  </property>
  <property fmtid="{D5CDD505-2E9C-101B-9397-08002B2CF9AE}" pid="3" name="KSOProductBuildVer">
    <vt:lpwstr>1033-12.2.0.20326</vt:lpwstr>
  </property>
</Properties>
</file>